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BuÇalismaKitabi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ErayA\Desktop\"/>
    </mc:Choice>
  </mc:AlternateContent>
  <xr:revisionPtr revIDLastSave="0" documentId="13_ncr:1_{A49795F6-4DC2-4553-BF69-A3D156B5A658}" xr6:coauthVersionLast="47" xr6:coauthVersionMax="47" xr10:uidLastSave="{00000000-0000-0000-0000-000000000000}"/>
  <bookViews>
    <workbookView xWindow="-120" yWindow="-120" windowWidth="29040" windowHeight="15840" xr2:uid="{56EC0988-1B3B-4ED4-9529-7E12D6FA0E64}"/>
  </bookViews>
  <sheets>
    <sheet name="Personel Listesi" sheetId="1" r:id="rId1"/>
    <sheet name="İş Dağılımı" sheetId="3" r:id="rId2"/>
    <sheet name="Malzeme Listesi" sheetId="4" r:id="rId3"/>
    <sheet name="Satış Adetleri" sheetId="2" r:id="rId4"/>
    <sheet name="Toplam Satışlar" sheetId="6" r:id="rId5"/>
    <sheet name="Prim Payları" sheetId="9" r:id="rId6"/>
    <sheet name="Guncel Kur Verisi" sheetId="11" state="hidden" r:id="rId7"/>
    <sheet name="Aylik Maas" sheetId="7" r:id="rId8"/>
    <sheet name="Maas Belgesi" sheetId="12" r:id="rId9"/>
  </sheets>
  <definedNames>
    <definedName name="_xlnm._FilterDatabase" localSheetId="1" hidden="1">'İş Dağılımı'!$A$1:$E$1</definedName>
    <definedName name="_xlnm._FilterDatabase" localSheetId="2" hidden="1">'Malzeme Listesi'!$A$1:$C$1</definedName>
    <definedName name="_xlnm._FilterDatabase" localSheetId="3" hidden="1">'Satış Adetleri'!$A$1:$I$1</definedName>
    <definedName name="DışVeri_1" localSheetId="6" hidden="1">'Guncel Kur Verisi'!$A$1:$E$7</definedName>
  </definedNames>
  <calcPr calcId="191029"/>
  <pivotCaches>
    <pivotCache cacheId="4" r:id="rId10"/>
    <pivotCache cacheId="9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4" i="12" l="1"/>
  <c r="L1" i="9"/>
  <c r="I27" i="9"/>
  <c r="I28" i="9"/>
  <c r="H13" i="9"/>
  <c r="H21" i="9"/>
  <c r="H7" i="9"/>
  <c r="G14" i="9"/>
  <c r="G15" i="9"/>
  <c r="G16" i="9"/>
  <c r="G17" i="9"/>
  <c r="G18" i="9"/>
  <c r="G19" i="9"/>
  <c r="G20" i="9"/>
  <c r="G22" i="9"/>
  <c r="G23" i="9"/>
  <c r="G24" i="9"/>
  <c r="G25" i="9"/>
  <c r="G26" i="9"/>
  <c r="G9" i="9"/>
  <c r="G10" i="9"/>
  <c r="G11" i="9"/>
  <c r="G12" i="9"/>
  <c r="G8" i="9"/>
  <c r="I4" i="12"/>
  <c r="H2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4" i="7"/>
  <c r="R1" i="9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4" i="7"/>
  <c r="B3" i="3"/>
  <c r="B4" i="3"/>
  <c r="B5" i="3"/>
  <c r="B6" i="3"/>
  <c r="B7" i="3"/>
  <c r="B8" i="3"/>
  <c r="B9" i="3"/>
  <c r="C120" i="2" s="1"/>
  <c r="B10" i="3"/>
  <c r="C72" i="2" s="1"/>
  <c r="B11" i="3"/>
  <c r="B12" i="3"/>
  <c r="B13" i="3"/>
  <c r="B14" i="3"/>
  <c r="B15" i="3"/>
  <c r="B16" i="3"/>
  <c r="C33" i="2" s="1"/>
  <c r="B17" i="3"/>
  <c r="C88" i="2" s="1"/>
  <c r="B18" i="3"/>
  <c r="C46" i="2" s="1"/>
  <c r="B2" i="3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7" i="9"/>
  <c r="O3" i="9"/>
  <c r="O1" i="9"/>
  <c r="R2" i="9" s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20" i="2"/>
  <c r="C23" i="2"/>
  <c r="C24" i="2"/>
  <c r="C25" i="2"/>
  <c r="C26" i="2"/>
  <c r="C27" i="2"/>
  <c r="C28" i="2"/>
  <c r="C29" i="2"/>
  <c r="C30" i="2"/>
  <c r="C31" i="2"/>
  <c r="C32" i="2"/>
  <c r="C34" i="2"/>
  <c r="C38" i="2"/>
  <c r="C39" i="2"/>
  <c r="C40" i="2"/>
  <c r="C41" i="2"/>
  <c r="C42" i="2"/>
  <c r="C43" i="2"/>
  <c r="C45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70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9" i="2"/>
  <c r="C90" i="2"/>
  <c r="C91" i="2"/>
  <c r="C92" i="2"/>
  <c r="C93" i="2"/>
  <c r="C94" i="2"/>
  <c r="C95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22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40" i="2"/>
  <c r="C141" i="2"/>
  <c r="C142" i="2"/>
  <c r="C143" i="2"/>
  <c r="C144" i="2"/>
  <c r="C145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90" i="2"/>
  <c r="C191" i="2"/>
  <c r="C192" i="2"/>
  <c r="C193" i="2"/>
  <c r="C194" i="2"/>
  <c r="C195" i="2"/>
  <c r="C196" i="2"/>
  <c r="C198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2" i="2"/>
  <c r="C223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2" i="2"/>
  <c r="C243" i="2"/>
  <c r="C244" i="2"/>
  <c r="C245" i="2"/>
  <c r="C246" i="2"/>
  <c r="C247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3" i="2"/>
  <c r="C294" i="2"/>
  <c r="C295" i="2"/>
  <c r="C296" i="2"/>
  <c r="C297" i="2"/>
  <c r="C298" i="2"/>
  <c r="C299" i="2"/>
  <c r="C302" i="2"/>
  <c r="C303" i="2"/>
  <c r="C304" i="2"/>
  <c r="C305" i="2"/>
  <c r="C306" i="2"/>
  <c r="C307" i="2"/>
  <c r="C2" i="2"/>
  <c r="G2" i="2"/>
  <c r="I2" i="2" s="1"/>
  <c r="G3" i="2"/>
  <c r="I3" i="2" s="1"/>
  <c r="G4" i="2"/>
  <c r="I4" i="2" s="1"/>
  <c r="G53" i="2"/>
  <c r="I53" i="2" s="1"/>
  <c r="G54" i="2"/>
  <c r="I54" i="2" s="1"/>
  <c r="G55" i="2"/>
  <c r="I55" i="2" s="1"/>
  <c r="G104" i="2"/>
  <c r="I104" i="2" s="1"/>
  <c r="G105" i="2"/>
  <c r="I105" i="2" s="1"/>
  <c r="G106" i="2"/>
  <c r="I106" i="2" s="1"/>
  <c r="G155" i="2"/>
  <c r="I155" i="2" s="1"/>
  <c r="G156" i="2"/>
  <c r="I156" i="2" s="1"/>
  <c r="G157" i="2"/>
  <c r="I157" i="2" s="1"/>
  <c r="G206" i="2"/>
  <c r="I206" i="2" s="1"/>
  <c r="G207" i="2"/>
  <c r="I207" i="2" s="1"/>
  <c r="G208" i="2"/>
  <c r="I208" i="2" s="1"/>
  <c r="G257" i="2"/>
  <c r="I257" i="2" s="1"/>
  <c r="G258" i="2"/>
  <c r="I258" i="2" s="1"/>
  <c r="G259" i="2"/>
  <c r="I259" i="2" s="1"/>
  <c r="G5" i="2"/>
  <c r="I5" i="2" s="1"/>
  <c r="G6" i="2"/>
  <c r="I6" i="2" s="1"/>
  <c r="G7" i="2"/>
  <c r="I7" i="2" s="1"/>
  <c r="G56" i="2"/>
  <c r="I56" i="2" s="1"/>
  <c r="G57" i="2"/>
  <c r="I57" i="2" s="1"/>
  <c r="G58" i="2"/>
  <c r="I58" i="2" s="1"/>
  <c r="G107" i="2"/>
  <c r="I107" i="2" s="1"/>
  <c r="G108" i="2"/>
  <c r="I108" i="2" s="1"/>
  <c r="G109" i="2"/>
  <c r="I109" i="2" s="1"/>
  <c r="G158" i="2"/>
  <c r="I158" i="2" s="1"/>
  <c r="G159" i="2"/>
  <c r="I159" i="2" s="1"/>
  <c r="G160" i="2"/>
  <c r="I160" i="2" s="1"/>
  <c r="G209" i="2"/>
  <c r="I209" i="2" s="1"/>
  <c r="G210" i="2"/>
  <c r="I210" i="2" s="1"/>
  <c r="G211" i="2"/>
  <c r="I211" i="2" s="1"/>
  <c r="G260" i="2"/>
  <c r="I260" i="2" s="1"/>
  <c r="G261" i="2"/>
  <c r="I261" i="2" s="1"/>
  <c r="G262" i="2"/>
  <c r="I262" i="2" s="1"/>
  <c r="G8" i="2"/>
  <c r="I8" i="2" s="1"/>
  <c r="G9" i="2"/>
  <c r="I9" i="2" s="1"/>
  <c r="G10" i="2"/>
  <c r="I10" i="2" s="1"/>
  <c r="G59" i="2"/>
  <c r="I59" i="2" s="1"/>
  <c r="G60" i="2"/>
  <c r="I60" i="2" s="1"/>
  <c r="G61" i="2"/>
  <c r="I61" i="2" s="1"/>
  <c r="G110" i="2"/>
  <c r="I110" i="2" s="1"/>
  <c r="G111" i="2"/>
  <c r="I111" i="2" s="1"/>
  <c r="G112" i="2"/>
  <c r="I112" i="2" s="1"/>
  <c r="G161" i="2"/>
  <c r="I161" i="2" s="1"/>
  <c r="G162" i="2"/>
  <c r="I162" i="2" s="1"/>
  <c r="G163" i="2"/>
  <c r="I163" i="2" s="1"/>
  <c r="G212" i="2"/>
  <c r="I212" i="2" s="1"/>
  <c r="G213" i="2"/>
  <c r="I213" i="2" s="1"/>
  <c r="G214" i="2"/>
  <c r="I214" i="2" s="1"/>
  <c r="G263" i="2"/>
  <c r="I263" i="2" s="1"/>
  <c r="G264" i="2"/>
  <c r="I264" i="2" s="1"/>
  <c r="G265" i="2"/>
  <c r="I265" i="2" s="1"/>
  <c r="G11" i="2"/>
  <c r="I11" i="2" s="1"/>
  <c r="G12" i="2"/>
  <c r="I12" i="2" s="1"/>
  <c r="G13" i="2"/>
  <c r="I13" i="2" s="1"/>
  <c r="G62" i="2"/>
  <c r="I62" i="2" s="1"/>
  <c r="G63" i="2"/>
  <c r="I63" i="2" s="1"/>
  <c r="G64" i="2"/>
  <c r="I64" i="2" s="1"/>
  <c r="G113" i="2"/>
  <c r="I113" i="2" s="1"/>
  <c r="G114" i="2"/>
  <c r="I114" i="2" s="1"/>
  <c r="G115" i="2"/>
  <c r="I115" i="2" s="1"/>
  <c r="G164" i="2"/>
  <c r="I164" i="2" s="1"/>
  <c r="G165" i="2"/>
  <c r="I165" i="2" s="1"/>
  <c r="G166" i="2"/>
  <c r="I166" i="2" s="1"/>
  <c r="G215" i="2"/>
  <c r="I215" i="2" s="1"/>
  <c r="G216" i="2"/>
  <c r="I216" i="2" s="1"/>
  <c r="G217" i="2"/>
  <c r="I217" i="2" s="1"/>
  <c r="G266" i="2"/>
  <c r="I266" i="2" s="1"/>
  <c r="G267" i="2"/>
  <c r="I267" i="2" s="1"/>
  <c r="G268" i="2"/>
  <c r="I268" i="2" s="1"/>
  <c r="G14" i="2"/>
  <c r="I14" i="2" s="1"/>
  <c r="G15" i="2"/>
  <c r="I15" i="2" s="1"/>
  <c r="G16" i="2"/>
  <c r="I16" i="2" s="1"/>
  <c r="G65" i="2"/>
  <c r="I65" i="2" s="1"/>
  <c r="G66" i="2"/>
  <c r="I66" i="2" s="1"/>
  <c r="G67" i="2"/>
  <c r="I67" i="2" s="1"/>
  <c r="G116" i="2"/>
  <c r="I116" i="2" s="1"/>
  <c r="G117" i="2"/>
  <c r="I117" i="2" s="1"/>
  <c r="G118" i="2"/>
  <c r="I118" i="2" s="1"/>
  <c r="G167" i="2"/>
  <c r="I167" i="2" s="1"/>
  <c r="G168" i="2"/>
  <c r="I168" i="2" s="1"/>
  <c r="G169" i="2"/>
  <c r="I169" i="2" s="1"/>
  <c r="G218" i="2"/>
  <c r="I218" i="2" s="1"/>
  <c r="G219" i="2"/>
  <c r="I219" i="2" s="1"/>
  <c r="G220" i="2"/>
  <c r="I220" i="2" s="1"/>
  <c r="G269" i="2"/>
  <c r="I269" i="2" s="1"/>
  <c r="G270" i="2"/>
  <c r="I270" i="2" s="1"/>
  <c r="G271" i="2"/>
  <c r="I271" i="2" s="1"/>
  <c r="G17" i="2"/>
  <c r="I17" i="2" s="1"/>
  <c r="G18" i="2"/>
  <c r="I18" i="2" s="1"/>
  <c r="G19" i="2"/>
  <c r="I19" i="2" s="1"/>
  <c r="G68" i="2"/>
  <c r="I68" i="2" s="1"/>
  <c r="G69" i="2"/>
  <c r="I69" i="2" s="1"/>
  <c r="G70" i="2"/>
  <c r="I70" i="2" s="1"/>
  <c r="G119" i="2"/>
  <c r="I119" i="2" s="1"/>
  <c r="G120" i="2"/>
  <c r="I120" i="2" s="1"/>
  <c r="G121" i="2"/>
  <c r="I121" i="2" s="1"/>
  <c r="G170" i="2"/>
  <c r="I170" i="2" s="1"/>
  <c r="G171" i="2"/>
  <c r="I171" i="2" s="1"/>
  <c r="G172" i="2"/>
  <c r="I172" i="2" s="1"/>
  <c r="G221" i="2"/>
  <c r="I221" i="2" s="1"/>
  <c r="G222" i="2"/>
  <c r="I222" i="2" s="1"/>
  <c r="G223" i="2"/>
  <c r="I223" i="2" s="1"/>
  <c r="G272" i="2"/>
  <c r="I272" i="2" s="1"/>
  <c r="G273" i="2"/>
  <c r="I273" i="2" s="1"/>
  <c r="G274" i="2"/>
  <c r="I274" i="2" s="1"/>
  <c r="G20" i="2"/>
  <c r="I20" i="2" s="1"/>
  <c r="G21" i="2"/>
  <c r="I21" i="2" s="1"/>
  <c r="G22" i="2"/>
  <c r="I22" i="2" s="1"/>
  <c r="G71" i="2"/>
  <c r="I71" i="2" s="1"/>
  <c r="G72" i="2"/>
  <c r="I72" i="2" s="1"/>
  <c r="G73" i="2"/>
  <c r="I73" i="2" s="1"/>
  <c r="G122" i="2"/>
  <c r="I122" i="2" s="1"/>
  <c r="G123" i="2"/>
  <c r="I123" i="2" s="1"/>
  <c r="G124" i="2"/>
  <c r="I124" i="2" s="1"/>
  <c r="G173" i="2"/>
  <c r="I173" i="2" s="1"/>
  <c r="G174" i="2"/>
  <c r="I174" i="2" s="1"/>
  <c r="G175" i="2"/>
  <c r="I175" i="2" s="1"/>
  <c r="G224" i="2"/>
  <c r="I224" i="2" s="1"/>
  <c r="G225" i="2"/>
  <c r="I225" i="2" s="1"/>
  <c r="G226" i="2"/>
  <c r="I226" i="2" s="1"/>
  <c r="G275" i="2"/>
  <c r="I275" i="2" s="1"/>
  <c r="G276" i="2"/>
  <c r="I276" i="2" s="1"/>
  <c r="G277" i="2"/>
  <c r="I277" i="2" s="1"/>
  <c r="G23" i="2"/>
  <c r="I23" i="2" s="1"/>
  <c r="G24" i="2"/>
  <c r="I24" i="2" s="1"/>
  <c r="G25" i="2"/>
  <c r="I25" i="2" s="1"/>
  <c r="G74" i="2"/>
  <c r="I74" i="2" s="1"/>
  <c r="G75" i="2"/>
  <c r="I75" i="2" s="1"/>
  <c r="G76" i="2"/>
  <c r="I76" i="2" s="1"/>
  <c r="G125" i="2"/>
  <c r="I125" i="2" s="1"/>
  <c r="G126" i="2"/>
  <c r="I126" i="2" s="1"/>
  <c r="G127" i="2"/>
  <c r="I127" i="2" s="1"/>
  <c r="G176" i="2"/>
  <c r="I176" i="2" s="1"/>
  <c r="G177" i="2"/>
  <c r="I177" i="2" s="1"/>
  <c r="G178" i="2"/>
  <c r="I178" i="2" s="1"/>
  <c r="G227" i="2"/>
  <c r="I227" i="2" s="1"/>
  <c r="G228" i="2"/>
  <c r="I228" i="2" s="1"/>
  <c r="G229" i="2"/>
  <c r="I229" i="2" s="1"/>
  <c r="G278" i="2"/>
  <c r="I278" i="2" s="1"/>
  <c r="G279" i="2"/>
  <c r="I279" i="2" s="1"/>
  <c r="G280" i="2"/>
  <c r="I280" i="2" s="1"/>
  <c r="G26" i="2"/>
  <c r="I26" i="2" s="1"/>
  <c r="G27" i="2"/>
  <c r="I27" i="2" s="1"/>
  <c r="G28" i="2"/>
  <c r="I28" i="2" s="1"/>
  <c r="G77" i="2"/>
  <c r="I77" i="2" s="1"/>
  <c r="G78" i="2"/>
  <c r="I78" i="2" s="1"/>
  <c r="G79" i="2"/>
  <c r="I79" i="2" s="1"/>
  <c r="G128" i="2"/>
  <c r="I128" i="2" s="1"/>
  <c r="G129" i="2"/>
  <c r="I129" i="2" s="1"/>
  <c r="G130" i="2"/>
  <c r="I130" i="2" s="1"/>
  <c r="G179" i="2"/>
  <c r="I179" i="2" s="1"/>
  <c r="G180" i="2"/>
  <c r="I180" i="2" s="1"/>
  <c r="G181" i="2"/>
  <c r="I181" i="2" s="1"/>
  <c r="G230" i="2"/>
  <c r="I230" i="2" s="1"/>
  <c r="G231" i="2"/>
  <c r="I231" i="2" s="1"/>
  <c r="G232" i="2"/>
  <c r="I232" i="2" s="1"/>
  <c r="G281" i="2"/>
  <c r="I281" i="2" s="1"/>
  <c r="G282" i="2"/>
  <c r="I282" i="2" s="1"/>
  <c r="G283" i="2"/>
  <c r="I283" i="2" s="1"/>
  <c r="G29" i="2"/>
  <c r="I29" i="2" s="1"/>
  <c r="G30" i="2"/>
  <c r="I30" i="2" s="1"/>
  <c r="G31" i="2"/>
  <c r="I31" i="2" s="1"/>
  <c r="G80" i="2"/>
  <c r="I80" i="2" s="1"/>
  <c r="G81" i="2"/>
  <c r="I81" i="2" s="1"/>
  <c r="G82" i="2"/>
  <c r="I82" i="2" s="1"/>
  <c r="G131" i="2"/>
  <c r="I131" i="2" s="1"/>
  <c r="G132" i="2"/>
  <c r="I132" i="2" s="1"/>
  <c r="G133" i="2"/>
  <c r="I133" i="2" s="1"/>
  <c r="G182" i="2"/>
  <c r="I182" i="2" s="1"/>
  <c r="G183" i="2"/>
  <c r="I183" i="2" s="1"/>
  <c r="G184" i="2"/>
  <c r="I184" i="2" s="1"/>
  <c r="G233" i="2"/>
  <c r="I233" i="2" s="1"/>
  <c r="G234" i="2"/>
  <c r="I234" i="2" s="1"/>
  <c r="G235" i="2"/>
  <c r="I235" i="2" s="1"/>
  <c r="G284" i="2"/>
  <c r="I284" i="2" s="1"/>
  <c r="G285" i="2"/>
  <c r="I285" i="2" s="1"/>
  <c r="G286" i="2"/>
  <c r="I286" i="2" s="1"/>
  <c r="G32" i="2"/>
  <c r="I32" i="2" s="1"/>
  <c r="G33" i="2"/>
  <c r="I33" i="2" s="1"/>
  <c r="G34" i="2"/>
  <c r="I34" i="2" s="1"/>
  <c r="G83" i="2"/>
  <c r="I83" i="2" s="1"/>
  <c r="G84" i="2"/>
  <c r="I84" i="2" s="1"/>
  <c r="G85" i="2"/>
  <c r="I85" i="2" s="1"/>
  <c r="G134" i="2"/>
  <c r="I134" i="2" s="1"/>
  <c r="G135" i="2"/>
  <c r="I135" i="2" s="1"/>
  <c r="G136" i="2"/>
  <c r="I136" i="2" s="1"/>
  <c r="G185" i="2"/>
  <c r="I185" i="2" s="1"/>
  <c r="G186" i="2"/>
  <c r="I186" i="2" s="1"/>
  <c r="G187" i="2"/>
  <c r="I187" i="2" s="1"/>
  <c r="G236" i="2"/>
  <c r="I236" i="2" s="1"/>
  <c r="G237" i="2"/>
  <c r="I237" i="2" s="1"/>
  <c r="G238" i="2"/>
  <c r="I238" i="2" s="1"/>
  <c r="G287" i="2"/>
  <c r="I287" i="2" s="1"/>
  <c r="G288" i="2"/>
  <c r="I288" i="2" s="1"/>
  <c r="G289" i="2"/>
  <c r="I289" i="2" s="1"/>
  <c r="G35" i="2"/>
  <c r="I35" i="2" s="1"/>
  <c r="G36" i="2"/>
  <c r="I36" i="2" s="1"/>
  <c r="G37" i="2"/>
  <c r="I37" i="2" s="1"/>
  <c r="G86" i="2"/>
  <c r="I86" i="2" s="1"/>
  <c r="G87" i="2"/>
  <c r="I87" i="2" s="1"/>
  <c r="G88" i="2"/>
  <c r="I88" i="2" s="1"/>
  <c r="G137" i="2"/>
  <c r="I137" i="2" s="1"/>
  <c r="G138" i="2"/>
  <c r="I138" i="2" s="1"/>
  <c r="G139" i="2"/>
  <c r="I139" i="2" s="1"/>
  <c r="G188" i="2"/>
  <c r="I188" i="2" s="1"/>
  <c r="G189" i="2"/>
  <c r="I189" i="2" s="1"/>
  <c r="G190" i="2"/>
  <c r="I190" i="2" s="1"/>
  <c r="G239" i="2"/>
  <c r="I239" i="2" s="1"/>
  <c r="G240" i="2"/>
  <c r="I240" i="2" s="1"/>
  <c r="G241" i="2"/>
  <c r="I241" i="2" s="1"/>
  <c r="G290" i="2"/>
  <c r="I290" i="2" s="1"/>
  <c r="G291" i="2"/>
  <c r="I291" i="2" s="1"/>
  <c r="G292" i="2"/>
  <c r="I292" i="2" s="1"/>
  <c r="G38" i="2"/>
  <c r="I38" i="2" s="1"/>
  <c r="G39" i="2"/>
  <c r="I39" i="2" s="1"/>
  <c r="G40" i="2"/>
  <c r="I40" i="2" s="1"/>
  <c r="G89" i="2"/>
  <c r="I89" i="2" s="1"/>
  <c r="G90" i="2"/>
  <c r="I90" i="2" s="1"/>
  <c r="G91" i="2"/>
  <c r="I91" i="2" s="1"/>
  <c r="G140" i="2"/>
  <c r="I140" i="2" s="1"/>
  <c r="G141" i="2"/>
  <c r="I141" i="2" s="1"/>
  <c r="G142" i="2"/>
  <c r="I142" i="2" s="1"/>
  <c r="G191" i="2"/>
  <c r="I191" i="2" s="1"/>
  <c r="G192" i="2"/>
  <c r="I192" i="2" s="1"/>
  <c r="G193" i="2"/>
  <c r="I193" i="2" s="1"/>
  <c r="G242" i="2"/>
  <c r="I242" i="2" s="1"/>
  <c r="G243" i="2"/>
  <c r="I243" i="2" s="1"/>
  <c r="G244" i="2"/>
  <c r="I244" i="2" s="1"/>
  <c r="G293" i="2"/>
  <c r="I293" i="2" s="1"/>
  <c r="G294" i="2"/>
  <c r="I294" i="2" s="1"/>
  <c r="G295" i="2"/>
  <c r="I295" i="2" s="1"/>
  <c r="G41" i="2"/>
  <c r="I41" i="2" s="1"/>
  <c r="G42" i="2"/>
  <c r="I42" i="2" s="1"/>
  <c r="G43" i="2"/>
  <c r="I43" i="2" s="1"/>
  <c r="G92" i="2"/>
  <c r="I92" i="2" s="1"/>
  <c r="G93" i="2"/>
  <c r="I93" i="2" s="1"/>
  <c r="G94" i="2"/>
  <c r="I94" i="2" s="1"/>
  <c r="G143" i="2"/>
  <c r="I143" i="2" s="1"/>
  <c r="G144" i="2"/>
  <c r="I144" i="2" s="1"/>
  <c r="G145" i="2"/>
  <c r="I145" i="2" s="1"/>
  <c r="G194" i="2"/>
  <c r="I194" i="2" s="1"/>
  <c r="G195" i="2"/>
  <c r="I195" i="2" s="1"/>
  <c r="G196" i="2"/>
  <c r="I196" i="2" s="1"/>
  <c r="G245" i="2"/>
  <c r="I245" i="2" s="1"/>
  <c r="G246" i="2"/>
  <c r="I246" i="2" s="1"/>
  <c r="G247" i="2"/>
  <c r="I247" i="2" s="1"/>
  <c r="G296" i="2"/>
  <c r="I296" i="2" s="1"/>
  <c r="G297" i="2"/>
  <c r="I297" i="2" s="1"/>
  <c r="G298" i="2"/>
  <c r="I298" i="2" s="1"/>
  <c r="G44" i="2"/>
  <c r="I44" i="2" s="1"/>
  <c r="G45" i="2"/>
  <c r="I45" i="2" s="1"/>
  <c r="G46" i="2"/>
  <c r="I46" i="2" s="1"/>
  <c r="G95" i="2"/>
  <c r="I95" i="2" s="1"/>
  <c r="G96" i="2"/>
  <c r="I96" i="2" s="1"/>
  <c r="G97" i="2"/>
  <c r="I97" i="2" s="1"/>
  <c r="G146" i="2"/>
  <c r="I146" i="2" s="1"/>
  <c r="G147" i="2"/>
  <c r="I147" i="2" s="1"/>
  <c r="G148" i="2"/>
  <c r="I148" i="2" s="1"/>
  <c r="G197" i="2"/>
  <c r="I197" i="2" s="1"/>
  <c r="G198" i="2"/>
  <c r="I198" i="2" s="1"/>
  <c r="G199" i="2"/>
  <c r="I199" i="2" s="1"/>
  <c r="G248" i="2"/>
  <c r="I248" i="2" s="1"/>
  <c r="G249" i="2"/>
  <c r="I249" i="2" s="1"/>
  <c r="G250" i="2"/>
  <c r="I250" i="2" s="1"/>
  <c r="G299" i="2"/>
  <c r="I299" i="2" s="1"/>
  <c r="G300" i="2"/>
  <c r="I300" i="2" s="1"/>
  <c r="G301" i="2"/>
  <c r="I301" i="2" s="1"/>
  <c r="G47" i="2"/>
  <c r="I47" i="2" s="1"/>
  <c r="G48" i="2"/>
  <c r="I48" i="2" s="1"/>
  <c r="G49" i="2"/>
  <c r="I49" i="2" s="1"/>
  <c r="G98" i="2"/>
  <c r="I98" i="2" s="1"/>
  <c r="G99" i="2"/>
  <c r="I99" i="2" s="1"/>
  <c r="G100" i="2"/>
  <c r="I100" i="2" s="1"/>
  <c r="G149" i="2"/>
  <c r="I149" i="2" s="1"/>
  <c r="G150" i="2"/>
  <c r="I150" i="2" s="1"/>
  <c r="G151" i="2"/>
  <c r="I151" i="2" s="1"/>
  <c r="G200" i="2"/>
  <c r="I200" i="2" s="1"/>
  <c r="G201" i="2"/>
  <c r="I201" i="2" s="1"/>
  <c r="G202" i="2"/>
  <c r="I202" i="2" s="1"/>
  <c r="G251" i="2"/>
  <c r="I251" i="2" s="1"/>
  <c r="G252" i="2"/>
  <c r="I252" i="2" s="1"/>
  <c r="G253" i="2"/>
  <c r="I253" i="2" s="1"/>
  <c r="G302" i="2"/>
  <c r="I302" i="2" s="1"/>
  <c r="G303" i="2"/>
  <c r="I303" i="2" s="1"/>
  <c r="G304" i="2"/>
  <c r="I304" i="2" s="1"/>
  <c r="G50" i="2"/>
  <c r="I50" i="2" s="1"/>
  <c r="G51" i="2"/>
  <c r="I51" i="2" s="1"/>
  <c r="G52" i="2"/>
  <c r="I52" i="2" s="1"/>
  <c r="G101" i="2"/>
  <c r="I101" i="2" s="1"/>
  <c r="G102" i="2"/>
  <c r="I102" i="2" s="1"/>
  <c r="G103" i="2"/>
  <c r="I103" i="2" s="1"/>
  <c r="G152" i="2"/>
  <c r="I152" i="2" s="1"/>
  <c r="G153" i="2"/>
  <c r="I153" i="2" s="1"/>
  <c r="G154" i="2"/>
  <c r="I154" i="2" s="1"/>
  <c r="G203" i="2"/>
  <c r="I203" i="2" s="1"/>
  <c r="G204" i="2"/>
  <c r="I204" i="2" s="1"/>
  <c r="G205" i="2"/>
  <c r="I205" i="2" s="1"/>
  <c r="G254" i="2"/>
  <c r="I254" i="2" s="1"/>
  <c r="G255" i="2"/>
  <c r="I255" i="2" s="1"/>
  <c r="G256" i="2"/>
  <c r="I256" i="2" s="1"/>
  <c r="G305" i="2"/>
  <c r="I305" i="2" s="1"/>
  <c r="G306" i="2"/>
  <c r="I306" i="2" s="1"/>
  <c r="G307" i="2"/>
  <c r="I307" i="2" s="1"/>
  <c r="F2" i="2"/>
  <c r="F3" i="2"/>
  <c r="F4" i="2"/>
  <c r="F53" i="2"/>
  <c r="F54" i="2"/>
  <c r="F55" i="2"/>
  <c r="F104" i="2"/>
  <c r="F105" i="2"/>
  <c r="F106" i="2"/>
  <c r="F155" i="2"/>
  <c r="F156" i="2"/>
  <c r="F157" i="2"/>
  <c r="F206" i="2"/>
  <c r="F207" i="2"/>
  <c r="F208" i="2"/>
  <c r="F257" i="2"/>
  <c r="F258" i="2"/>
  <c r="F259" i="2"/>
  <c r="F5" i="2"/>
  <c r="F6" i="2"/>
  <c r="F7" i="2"/>
  <c r="F56" i="2"/>
  <c r="F57" i="2"/>
  <c r="F58" i="2"/>
  <c r="F107" i="2"/>
  <c r="F108" i="2"/>
  <c r="F109" i="2"/>
  <c r="F158" i="2"/>
  <c r="F159" i="2"/>
  <c r="F160" i="2"/>
  <c r="F209" i="2"/>
  <c r="F210" i="2"/>
  <c r="F211" i="2"/>
  <c r="F260" i="2"/>
  <c r="F261" i="2"/>
  <c r="F262" i="2"/>
  <c r="F8" i="2"/>
  <c r="F9" i="2"/>
  <c r="F10" i="2"/>
  <c r="F59" i="2"/>
  <c r="F60" i="2"/>
  <c r="F61" i="2"/>
  <c r="F110" i="2"/>
  <c r="F111" i="2"/>
  <c r="F112" i="2"/>
  <c r="F161" i="2"/>
  <c r="F162" i="2"/>
  <c r="F163" i="2"/>
  <c r="F212" i="2"/>
  <c r="F213" i="2"/>
  <c r="F214" i="2"/>
  <c r="F263" i="2"/>
  <c r="F264" i="2"/>
  <c r="F265" i="2"/>
  <c r="F11" i="2"/>
  <c r="F12" i="2"/>
  <c r="F13" i="2"/>
  <c r="F62" i="2"/>
  <c r="F63" i="2"/>
  <c r="F64" i="2"/>
  <c r="F113" i="2"/>
  <c r="F114" i="2"/>
  <c r="F115" i="2"/>
  <c r="F164" i="2"/>
  <c r="F165" i="2"/>
  <c r="F166" i="2"/>
  <c r="F215" i="2"/>
  <c r="F216" i="2"/>
  <c r="F217" i="2"/>
  <c r="F266" i="2"/>
  <c r="F267" i="2"/>
  <c r="F268" i="2"/>
  <c r="F14" i="2"/>
  <c r="F15" i="2"/>
  <c r="F16" i="2"/>
  <c r="F65" i="2"/>
  <c r="F66" i="2"/>
  <c r="F67" i="2"/>
  <c r="F116" i="2"/>
  <c r="F117" i="2"/>
  <c r="F118" i="2"/>
  <c r="F167" i="2"/>
  <c r="F168" i="2"/>
  <c r="F169" i="2"/>
  <c r="F218" i="2"/>
  <c r="F219" i="2"/>
  <c r="F220" i="2"/>
  <c r="F269" i="2"/>
  <c r="F270" i="2"/>
  <c r="F271" i="2"/>
  <c r="F17" i="2"/>
  <c r="F18" i="2"/>
  <c r="F19" i="2"/>
  <c r="F68" i="2"/>
  <c r="F69" i="2"/>
  <c r="F70" i="2"/>
  <c r="F119" i="2"/>
  <c r="F120" i="2"/>
  <c r="F121" i="2"/>
  <c r="F170" i="2"/>
  <c r="F171" i="2"/>
  <c r="F172" i="2"/>
  <c r="F221" i="2"/>
  <c r="F222" i="2"/>
  <c r="F223" i="2"/>
  <c r="F272" i="2"/>
  <c r="F273" i="2"/>
  <c r="F274" i="2"/>
  <c r="F20" i="2"/>
  <c r="F21" i="2"/>
  <c r="F22" i="2"/>
  <c r="F71" i="2"/>
  <c r="F72" i="2"/>
  <c r="F73" i="2"/>
  <c r="F122" i="2"/>
  <c r="F123" i="2"/>
  <c r="F124" i="2"/>
  <c r="F173" i="2"/>
  <c r="F174" i="2"/>
  <c r="F175" i="2"/>
  <c r="F224" i="2"/>
  <c r="F225" i="2"/>
  <c r="F226" i="2"/>
  <c r="F275" i="2"/>
  <c r="F276" i="2"/>
  <c r="F277" i="2"/>
  <c r="F23" i="2"/>
  <c r="F24" i="2"/>
  <c r="F25" i="2"/>
  <c r="F74" i="2"/>
  <c r="F75" i="2"/>
  <c r="F76" i="2"/>
  <c r="F125" i="2"/>
  <c r="F126" i="2"/>
  <c r="F127" i="2"/>
  <c r="F176" i="2"/>
  <c r="F177" i="2"/>
  <c r="F178" i="2"/>
  <c r="F227" i="2"/>
  <c r="F228" i="2"/>
  <c r="F229" i="2"/>
  <c r="F278" i="2"/>
  <c r="F279" i="2"/>
  <c r="F280" i="2"/>
  <c r="F26" i="2"/>
  <c r="F27" i="2"/>
  <c r="F28" i="2"/>
  <c r="F77" i="2"/>
  <c r="F78" i="2"/>
  <c r="F79" i="2"/>
  <c r="F128" i="2"/>
  <c r="F129" i="2"/>
  <c r="F130" i="2"/>
  <c r="F179" i="2"/>
  <c r="F180" i="2"/>
  <c r="F181" i="2"/>
  <c r="F230" i="2"/>
  <c r="F231" i="2"/>
  <c r="F232" i="2"/>
  <c r="F281" i="2"/>
  <c r="F282" i="2"/>
  <c r="F283" i="2"/>
  <c r="F29" i="2"/>
  <c r="F30" i="2"/>
  <c r="F31" i="2"/>
  <c r="F80" i="2"/>
  <c r="F81" i="2"/>
  <c r="F82" i="2"/>
  <c r="F131" i="2"/>
  <c r="F132" i="2"/>
  <c r="F133" i="2"/>
  <c r="F182" i="2"/>
  <c r="F183" i="2"/>
  <c r="F184" i="2"/>
  <c r="F233" i="2"/>
  <c r="F234" i="2"/>
  <c r="F235" i="2"/>
  <c r="F284" i="2"/>
  <c r="F285" i="2"/>
  <c r="F286" i="2"/>
  <c r="F32" i="2"/>
  <c r="F33" i="2"/>
  <c r="F34" i="2"/>
  <c r="F83" i="2"/>
  <c r="F84" i="2"/>
  <c r="F85" i="2"/>
  <c r="F134" i="2"/>
  <c r="F135" i="2"/>
  <c r="F136" i="2"/>
  <c r="F185" i="2"/>
  <c r="F186" i="2"/>
  <c r="F187" i="2"/>
  <c r="F236" i="2"/>
  <c r="F237" i="2"/>
  <c r="F238" i="2"/>
  <c r="F287" i="2"/>
  <c r="F288" i="2"/>
  <c r="F289" i="2"/>
  <c r="F35" i="2"/>
  <c r="F36" i="2"/>
  <c r="F37" i="2"/>
  <c r="F86" i="2"/>
  <c r="F87" i="2"/>
  <c r="F88" i="2"/>
  <c r="F137" i="2"/>
  <c r="F138" i="2"/>
  <c r="F139" i="2"/>
  <c r="F188" i="2"/>
  <c r="F189" i="2"/>
  <c r="F190" i="2"/>
  <c r="F239" i="2"/>
  <c r="F240" i="2"/>
  <c r="F241" i="2"/>
  <c r="F290" i="2"/>
  <c r="F291" i="2"/>
  <c r="F292" i="2"/>
  <c r="F38" i="2"/>
  <c r="F39" i="2"/>
  <c r="F40" i="2"/>
  <c r="F89" i="2"/>
  <c r="F90" i="2"/>
  <c r="F91" i="2"/>
  <c r="F140" i="2"/>
  <c r="F141" i="2"/>
  <c r="F142" i="2"/>
  <c r="F191" i="2"/>
  <c r="F192" i="2"/>
  <c r="F193" i="2"/>
  <c r="F242" i="2"/>
  <c r="F243" i="2"/>
  <c r="F244" i="2"/>
  <c r="F293" i="2"/>
  <c r="F294" i="2"/>
  <c r="F295" i="2"/>
  <c r="F41" i="2"/>
  <c r="F42" i="2"/>
  <c r="F43" i="2"/>
  <c r="F92" i="2"/>
  <c r="F93" i="2"/>
  <c r="F94" i="2"/>
  <c r="F143" i="2"/>
  <c r="F144" i="2"/>
  <c r="F145" i="2"/>
  <c r="F194" i="2"/>
  <c r="F195" i="2"/>
  <c r="F196" i="2"/>
  <c r="F245" i="2"/>
  <c r="F246" i="2"/>
  <c r="F247" i="2"/>
  <c r="F296" i="2"/>
  <c r="F297" i="2"/>
  <c r="F298" i="2"/>
  <c r="F44" i="2"/>
  <c r="F45" i="2"/>
  <c r="F46" i="2"/>
  <c r="F95" i="2"/>
  <c r="F96" i="2"/>
  <c r="F97" i="2"/>
  <c r="F146" i="2"/>
  <c r="F147" i="2"/>
  <c r="F148" i="2"/>
  <c r="F197" i="2"/>
  <c r="F198" i="2"/>
  <c r="F199" i="2"/>
  <c r="F248" i="2"/>
  <c r="F249" i="2"/>
  <c r="F250" i="2"/>
  <c r="F299" i="2"/>
  <c r="F300" i="2"/>
  <c r="F301" i="2"/>
  <c r="F47" i="2"/>
  <c r="F48" i="2"/>
  <c r="F49" i="2"/>
  <c r="F98" i="2"/>
  <c r="F99" i="2"/>
  <c r="F100" i="2"/>
  <c r="F149" i="2"/>
  <c r="F150" i="2"/>
  <c r="F151" i="2"/>
  <c r="F200" i="2"/>
  <c r="F201" i="2"/>
  <c r="F202" i="2"/>
  <c r="F251" i="2"/>
  <c r="F252" i="2"/>
  <c r="F253" i="2"/>
  <c r="F302" i="2"/>
  <c r="F303" i="2"/>
  <c r="F304" i="2"/>
  <c r="F50" i="2"/>
  <c r="F51" i="2"/>
  <c r="F52" i="2"/>
  <c r="F101" i="2"/>
  <c r="F102" i="2"/>
  <c r="F103" i="2"/>
  <c r="F152" i="2"/>
  <c r="F153" i="2"/>
  <c r="F154" i="2"/>
  <c r="F203" i="2"/>
  <c r="F204" i="2"/>
  <c r="F205" i="2"/>
  <c r="F254" i="2"/>
  <c r="F255" i="2"/>
  <c r="F256" i="2"/>
  <c r="F305" i="2"/>
  <c r="F306" i="2"/>
  <c r="F307" i="2"/>
  <c r="C301" i="2" l="1"/>
  <c r="C71" i="2"/>
  <c r="C44" i="2"/>
  <c r="C97" i="2"/>
  <c r="C248" i="2"/>
  <c r="C123" i="2"/>
  <c r="C96" i="2"/>
  <c r="C226" i="2"/>
  <c r="C175" i="2"/>
  <c r="C148" i="2"/>
  <c r="C276" i="2"/>
  <c r="C250" i="2"/>
  <c r="C225" i="2"/>
  <c r="C174" i="2"/>
  <c r="C147" i="2"/>
  <c r="C22" i="2"/>
  <c r="C277" i="2"/>
  <c r="C275" i="2"/>
  <c r="C249" i="2"/>
  <c r="C224" i="2"/>
  <c r="C199" i="2"/>
  <c r="C173" i="2"/>
  <c r="C146" i="2"/>
  <c r="C21" i="2"/>
  <c r="C300" i="2"/>
  <c r="C197" i="2"/>
  <c r="C119" i="2"/>
  <c r="C87" i="2"/>
  <c r="C221" i="2"/>
  <c r="C189" i="2"/>
  <c r="C69" i="2"/>
  <c r="C37" i="2"/>
  <c r="C292" i="2"/>
  <c r="C188" i="2"/>
  <c r="C172" i="2"/>
  <c r="C68" i="2"/>
  <c r="C36" i="2"/>
  <c r="C291" i="2"/>
  <c r="C171" i="2"/>
  <c r="C139" i="2"/>
  <c r="C35" i="2"/>
  <c r="C19" i="2"/>
  <c r="C290" i="2"/>
  <c r="C274" i="2"/>
  <c r="C170" i="2"/>
  <c r="C138" i="2"/>
  <c r="C18" i="2"/>
  <c r="C273" i="2"/>
  <c r="C241" i="2"/>
  <c r="C137" i="2"/>
  <c r="C121" i="2"/>
  <c r="C17" i="2"/>
  <c r="K27" i="9"/>
  <c r="L27" i="9" s="1"/>
  <c r="K29" i="9" s="1"/>
  <c r="L29" i="9" s="1"/>
  <c r="K23" i="9"/>
  <c r="L23" i="9" s="1"/>
  <c r="F9" i="7" l="1"/>
  <c r="F16" i="7"/>
  <c r="F17" i="7"/>
  <c r="F4" i="7"/>
  <c r="E10" i="7"/>
  <c r="E18" i="7"/>
  <c r="E11" i="7"/>
  <c r="E19" i="7"/>
  <c r="E12" i="7"/>
  <c r="E20" i="7"/>
  <c r="E4" i="7"/>
  <c r="E17" i="7"/>
  <c r="E5" i="7"/>
  <c r="E13" i="7"/>
  <c r="E21" i="7"/>
  <c r="E6" i="7"/>
  <c r="E14" i="7"/>
  <c r="E22" i="7"/>
  <c r="E16" i="7"/>
  <c r="E7" i="7"/>
  <c r="E15" i="7"/>
  <c r="E23" i="7"/>
  <c r="E8" i="7"/>
  <c r="E9" i="7"/>
  <c r="F7" i="7"/>
  <c r="F13" i="7"/>
  <c r="F15" i="7"/>
  <c r="F14" i="7"/>
  <c r="F5" i="7"/>
  <c r="F22" i="7"/>
  <c r="F21" i="7"/>
  <c r="F10" i="7"/>
  <c r="F12" i="7"/>
  <c r="H12" i="7" s="1"/>
  <c r="F6" i="7"/>
  <c r="F11" i="7"/>
  <c r="F23" i="7"/>
  <c r="F18" i="7"/>
  <c r="F20" i="7"/>
  <c r="F8" i="7"/>
  <c r="F19" i="7"/>
  <c r="H6" i="7" l="1"/>
  <c r="H18" i="7"/>
  <c r="H7" i="7"/>
  <c r="H23" i="7"/>
  <c r="H11" i="7"/>
  <c r="H13" i="7"/>
  <c r="H16" i="7"/>
  <c r="H14" i="7"/>
  <c r="H9" i="7"/>
  <c r="H19" i="7"/>
  <c r="H21" i="7"/>
  <c r="H10" i="7"/>
  <c r="H5" i="7"/>
  <c r="H4" i="7"/>
  <c r="H17" i="7"/>
  <c r="H15" i="7"/>
  <c r="H22" i="7"/>
  <c r="H20" i="7"/>
  <c r="G4" i="1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218FEE-B32A-453C-A427-CB64D2739A25}" keepAlive="1" interval="1" name="Sorgu - Table 0" description="Çalışma kitabındaki 'Table 0' sorgusuna yönelik bağlantı." type="5" refreshedVersion="7" background="1" saveData="1">
    <dbPr connection="Provider=Microsoft.Mashup.OleDb.1;Data Source=$Workbook$;Location=&quot;Table 0&quot;;Extended Properties=&quot;&quot;" command="SELECT * FROM [Table 0]"/>
  </connection>
  <connection id="2" xr16:uid="{4AC791E9-2705-4049-B940-DE06EDE309C9}" keepAlive="1" name="ThisWorkbookDataModel" description="Veri Modeli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<sst xmlns="http://schemas.openxmlformats.org/spreadsheetml/2006/main" count="509" uniqueCount="110">
  <si>
    <t>Personel No</t>
  </si>
  <si>
    <t>Birimi</t>
  </si>
  <si>
    <t>Görevi</t>
  </si>
  <si>
    <t>Eskişehir Bölge</t>
  </si>
  <si>
    <t>Kütahya Bölge</t>
  </si>
  <si>
    <t>Bilecik Bölge</t>
  </si>
  <si>
    <t>Satış Personeli</t>
  </si>
  <si>
    <t>Aslı Balcı</t>
  </si>
  <si>
    <t>Engin Demir</t>
  </si>
  <si>
    <t>Kadri Işık</t>
  </si>
  <si>
    <t>Malzeme Kodu</t>
  </si>
  <si>
    <t>Malzeme Adı</t>
  </si>
  <si>
    <t>Satış Fiyatı</t>
  </si>
  <si>
    <t>Satış Adeti</t>
  </si>
  <si>
    <t>Toplam TL</t>
  </si>
  <si>
    <t>Satış Tarihi</t>
  </si>
  <si>
    <t>16.05.2022</t>
  </si>
  <si>
    <t>17.05.2022</t>
  </si>
  <si>
    <t>18.05.2022</t>
  </si>
  <si>
    <t>19.05.2022</t>
  </si>
  <si>
    <t>20.05.2022</t>
  </si>
  <si>
    <t>21.05.2022</t>
  </si>
  <si>
    <t>Adet TL</t>
  </si>
  <si>
    <t>Satır Etiketleri</t>
  </si>
  <si>
    <t>Genel Toplam</t>
  </si>
  <si>
    <t>Toplam Satış Adeti</t>
  </si>
  <si>
    <t>Toplam Toplam TL</t>
  </si>
  <si>
    <t>Maaş</t>
  </si>
  <si>
    <t>Bağlı Uzman</t>
  </si>
  <si>
    <t>Personel Adı - Soyadı</t>
  </si>
  <si>
    <t>Adı Soyadı</t>
  </si>
  <si>
    <t>Melike Kara</t>
  </si>
  <si>
    <t>Emine Şimşek</t>
  </si>
  <si>
    <t>Fatih Güldüren</t>
  </si>
  <si>
    <t>Enver Toprak</t>
  </si>
  <si>
    <t>Recep Koca</t>
  </si>
  <si>
    <t>Gamze Öztürk</t>
  </si>
  <si>
    <t>Adem Yıldız</t>
  </si>
  <si>
    <t>İbrahim Vural</t>
  </si>
  <si>
    <t>Mehmet Sodacı</t>
  </si>
  <si>
    <t>Zeynep Yetişen</t>
  </si>
  <si>
    <t>Zeki Civan</t>
  </si>
  <si>
    <t>Gülsüm Çalışkan</t>
  </si>
  <si>
    <t>Ayşe Zengin</t>
  </si>
  <si>
    <t>Mete Özak</t>
  </si>
  <si>
    <t>Ediz Ekin</t>
  </si>
  <si>
    <t>Alper Çakır</t>
  </si>
  <si>
    <t>Murat Maden</t>
  </si>
  <si>
    <t>Sütun Etiketleri</t>
  </si>
  <si>
    <t>Bireysel Prim</t>
  </si>
  <si>
    <t>Takım Primi</t>
  </si>
  <si>
    <t>Ödenecek Miktar</t>
  </si>
  <si>
    <t>Güncel Kur</t>
  </si>
  <si>
    <t>Bireysel Satış Primi</t>
  </si>
  <si>
    <t>Bireysel Satış Prim Payı %</t>
  </si>
  <si>
    <t>Takım Prim Payı %</t>
  </si>
  <si>
    <t>Toplam Prim Ücreti</t>
  </si>
  <si>
    <t>En Büyük Takım Satış Primi</t>
  </si>
  <si>
    <t>En Büyük Bireysel Satış Primi</t>
  </si>
  <si>
    <t>Takım Lideri</t>
  </si>
  <si>
    <t>Personel Başına Prim</t>
  </si>
  <si>
    <t>Takım Kişi Sayısı</t>
  </si>
  <si>
    <t>Bölge Takım Lideri</t>
  </si>
  <si>
    <t>Takım Lideri Payı %</t>
  </si>
  <si>
    <t>Takım Personeli Payı %</t>
  </si>
  <si>
    <t>Bireysel Prim Payı %</t>
  </si>
  <si>
    <t>Tarih</t>
  </si>
  <si>
    <t>Alış</t>
  </si>
  <si>
    <t>Satış</t>
  </si>
  <si>
    <t>Kur</t>
  </si>
  <si>
    <t>Günlük Değişim</t>
  </si>
  <si>
    <t>Değişim%</t>
  </si>
  <si>
    <t>AKBANK Amerikan Doları</t>
  </si>
  <si>
    <t>GARANTI Amerikan Doları</t>
  </si>
  <si>
    <t>İŞ BANK Amerikan Doları</t>
  </si>
  <si>
    <t>ŞEKERBANK Amerikan Doları</t>
  </si>
  <si>
    <t>VAKIF BANK Amerikan Doları</t>
  </si>
  <si>
    <t>YAPIKREDİ Amerikan Doları</t>
  </si>
  <si>
    <t>Maaş Ödeme Kanalı</t>
  </si>
  <si>
    <t>Personel Adı Soyadı</t>
  </si>
  <si>
    <t>tarihinde</t>
  </si>
  <si>
    <t xml:space="preserve">kanalı aracılığı ile </t>
  </si>
  <si>
    <t>İban</t>
  </si>
  <si>
    <t>TR977389406716</t>
  </si>
  <si>
    <t>TR366024787544</t>
  </si>
  <si>
    <t>TR658720509252</t>
  </si>
  <si>
    <t>TR907690003849</t>
  </si>
  <si>
    <t>TR270180707546</t>
  </si>
  <si>
    <t>TR865366996491</t>
  </si>
  <si>
    <t>TR639601723147</t>
  </si>
  <si>
    <t>TR119113100604</t>
  </si>
  <si>
    <t>TR114896972463</t>
  </si>
  <si>
    <t>TR745216299839</t>
  </si>
  <si>
    <t>TR623785453454</t>
  </si>
  <si>
    <t>TR491849761877</t>
  </si>
  <si>
    <t>TR465443967694</t>
  </si>
  <si>
    <t>TR989205916681</t>
  </si>
  <si>
    <t>TR574705519097</t>
  </si>
  <si>
    <t>TR846684215032</t>
  </si>
  <si>
    <t>TR999521451552</t>
  </si>
  <si>
    <t>TR391587595288</t>
  </si>
  <si>
    <t>TR920918822130</t>
  </si>
  <si>
    <t>TR207002940945</t>
  </si>
  <si>
    <t>isimli çalışanımızın</t>
  </si>
  <si>
    <t>hesabına geçmiştir.</t>
  </si>
  <si>
    <t xml:space="preserve"> olarak</t>
  </si>
  <si>
    <t>(boş)</t>
  </si>
  <si>
    <t>Şampuan</t>
  </si>
  <si>
    <t>Parfüm</t>
  </si>
  <si>
    <t>Deodorant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</si>
</sst>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[$₺-41F]* #,##0.00_-;\-[$₺-41F]* #,##0.00_-;_-[$₺-41F]* &quot;-&quot;??_-;_-@_-"/>
    <numFmt numFmtId="165" formatCode="_-[$$-409]* #,##0.00_ ;_-[$$-409]* \-#,##0.00\ ;_-[$$-409]* &quot;-&quot;??_ ;_-@_ "/>
    <numFmt numFmtId="166" formatCode="_-[$$-409]* #,##0_ ;_-[$$-409]* \-#,##0\ ;_-[$$-409]* &quot;-&quot;??_ ;_-@_ "/>
    <numFmt numFmtId="167" formatCode="[$-F400]h:mm:ss\ AM/PM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charset val="16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99">
    <xf numFmtId="0" fontId="0" fillId="0" borderId="0" xfId="0"/>
    <xf numFmtId="164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1" xfId="0" applyBorder="1"/>
    <xf numFmtId="0" fontId="3" fillId="0" borderId="3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165" fontId="0" fillId="0" borderId="7" xfId="0" applyNumberFormat="1" applyBorder="1"/>
    <xf numFmtId="0" fontId="0" fillId="0" borderId="9" xfId="0" applyBorder="1"/>
    <xf numFmtId="165" fontId="0" fillId="0" borderId="10" xfId="0" applyNumberFormat="1" applyBorder="1"/>
    <xf numFmtId="0" fontId="0" fillId="0" borderId="12" xfId="0" applyBorder="1"/>
    <xf numFmtId="165" fontId="0" fillId="0" borderId="13" xfId="0" applyNumberFormat="1" applyBorder="1"/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" xfId="0" applyBorder="1" applyAlignment="1">
      <alignment vertical="center"/>
    </xf>
    <xf numFmtId="0" fontId="0" fillId="0" borderId="4" xfId="0" applyBorder="1"/>
    <xf numFmtId="0" fontId="0" fillId="0" borderId="4" xfId="0" applyBorder="1" applyAlignment="1">
      <alignment vertical="center"/>
    </xf>
    <xf numFmtId="0" fontId="0" fillId="0" borderId="5" xfId="0" applyBorder="1"/>
    <xf numFmtId="0" fontId="0" fillId="0" borderId="7" xfId="0" applyBorder="1"/>
    <xf numFmtId="0" fontId="0" fillId="0" borderId="9" xfId="0" applyBorder="1" applyAlignment="1">
      <alignment vertical="center"/>
    </xf>
    <xf numFmtId="0" fontId="0" fillId="0" borderId="10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0" fillId="0" borderId="17" xfId="0" applyBorder="1"/>
    <xf numFmtId="1" fontId="0" fillId="0" borderId="18" xfId="0" applyNumberFormat="1" applyBorder="1"/>
    <xf numFmtId="166" fontId="0" fillId="0" borderId="2" xfId="0" applyNumberFormat="1" applyBorder="1"/>
    <xf numFmtId="0" fontId="0" fillId="0" borderId="0" xfId="0" applyAlignment="1"/>
    <xf numFmtId="0" fontId="0" fillId="0" borderId="23" xfId="0" applyBorder="1" applyAlignment="1">
      <alignment horizontal="center"/>
    </xf>
    <xf numFmtId="0" fontId="0" fillId="0" borderId="25" xfId="0" applyBorder="1" applyAlignment="1">
      <alignment horizontal="center"/>
    </xf>
    <xf numFmtId="166" fontId="0" fillId="0" borderId="10" xfId="0" applyNumberFormat="1" applyBorder="1" applyAlignment="1">
      <alignment horizontal="center"/>
    </xf>
    <xf numFmtId="0" fontId="0" fillId="0" borderId="12" xfId="0" applyBorder="1" applyAlignment="1"/>
    <xf numFmtId="0" fontId="0" fillId="0" borderId="1" xfId="0" applyBorder="1" applyAlignment="1"/>
    <xf numFmtId="0" fontId="0" fillId="0" borderId="9" xfId="0" applyBorder="1" applyAlignment="1"/>
    <xf numFmtId="0" fontId="3" fillId="2" borderId="1" xfId="0" applyFont="1" applyFill="1" applyBorder="1"/>
    <xf numFmtId="0" fontId="0" fillId="0" borderId="1" xfId="0" applyNumberFormat="1" applyBorder="1"/>
    <xf numFmtId="0" fontId="3" fillId="0" borderId="1" xfId="0" applyNumberFormat="1" applyFont="1" applyBorder="1"/>
    <xf numFmtId="0" fontId="0" fillId="0" borderId="28" xfId="0" applyBorder="1"/>
    <xf numFmtId="0" fontId="0" fillId="0" borderId="30" xfId="0" applyBorder="1"/>
    <xf numFmtId="0" fontId="0" fillId="0" borderId="18" xfId="0" applyBorder="1"/>
    <xf numFmtId="0" fontId="0" fillId="0" borderId="17" xfId="0" applyBorder="1" applyAlignment="1">
      <alignment horizontal="right"/>
    </xf>
    <xf numFmtId="167" fontId="0" fillId="0" borderId="0" xfId="0" applyNumberFormat="1"/>
    <xf numFmtId="43" fontId="0" fillId="0" borderId="0" xfId="1" applyFont="1"/>
    <xf numFmtId="0" fontId="3" fillId="0" borderId="14" xfId="0" applyFont="1" applyBorder="1"/>
    <xf numFmtId="0" fontId="3" fillId="0" borderId="16" xfId="0" applyFont="1" applyBorder="1"/>
    <xf numFmtId="0" fontId="0" fillId="0" borderId="25" xfId="0" applyBorder="1" applyAlignment="1">
      <alignment horizontal="center" vertical="center"/>
    </xf>
    <xf numFmtId="0" fontId="3" fillId="0" borderId="22" xfId="0" applyFont="1" applyBorder="1"/>
    <xf numFmtId="0" fontId="3" fillId="0" borderId="22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/>
    </xf>
    <xf numFmtId="14" fontId="0" fillId="0" borderId="0" xfId="0" applyNumberFormat="1" applyAlignment="1"/>
    <xf numFmtId="0" fontId="0" fillId="0" borderId="31" xfId="0" applyBorder="1"/>
    <xf numFmtId="0" fontId="0" fillId="0" borderId="31" xfId="0" applyFill="1" applyBorder="1"/>
    <xf numFmtId="0" fontId="0" fillId="0" borderId="2" xfId="0" applyBorder="1"/>
    <xf numFmtId="0" fontId="3" fillId="0" borderId="2" xfId="0" applyFont="1" applyFill="1" applyBorder="1"/>
    <xf numFmtId="164" fontId="3" fillId="0" borderId="31" xfId="0" applyNumberFormat="1" applyFont="1" applyFill="1" applyBorder="1"/>
    <xf numFmtId="165" fontId="0" fillId="0" borderId="1" xfId="0" applyNumberFormat="1" applyBorder="1"/>
    <xf numFmtId="164" fontId="0" fillId="0" borderId="1" xfId="0" applyNumberFormat="1" applyBorder="1"/>
    <xf numFmtId="0" fontId="3" fillId="0" borderId="4" xfId="0" applyFont="1" applyBorder="1"/>
    <xf numFmtId="0" fontId="3" fillId="0" borderId="5" xfId="0" applyFont="1" applyBorder="1"/>
    <xf numFmtId="164" fontId="0" fillId="0" borderId="7" xfId="0" applyNumberFormat="1" applyBorder="1"/>
    <xf numFmtId="165" fontId="0" fillId="0" borderId="9" xfId="0" applyNumberFormat="1" applyBorder="1"/>
    <xf numFmtId="164" fontId="0" fillId="0" borderId="9" xfId="0" applyNumberFormat="1" applyBorder="1"/>
    <xf numFmtId="164" fontId="0" fillId="0" borderId="10" xfId="0" applyNumberFormat="1" applyBorder="1"/>
    <xf numFmtId="0" fontId="3" fillId="0" borderId="17" xfId="0" applyFont="1" applyBorder="1" applyAlignment="1"/>
    <xf numFmtId="14" fontId="3" fillId="0" borderId="18" xfId="0" applyNumberFormat="1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0" borderId="1" xfId="0" applyNumberFormat="1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" fontId="0" fillId="0" borderId="29" xfId="0" applyNumberFormat="1" applyBorder="1" applyAlignment="1">
      <alignment horizontal="center" vertical="center"/>
    </xf>
    <xf numFmtId="1" fontId="0" fillId="0" borderId="30" xfId="0" applyNumberFormat="1" applyBorder="1" applyAlignment="1">
      <alignment horizontal="center" vertical="center"/>
    </xf>
    <xf numFmtId="166" fontId="0" fillId="0" borderId="19" xfId="0" applyNumberFormat="1" applyBorder="1" applyAlignment="1">
      <alignment horizontal="center" vertical="center"/>
    </xf>
    <xf numFmtId="166" fontId="0" fillId="0" borderId="20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166" fontId="0" fillId="0" borderId="26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165" fontId="0" fillId="0" borderId="32" xfId="0" applyNumberFormat="1" applyBorder="1"/>
    <xf numFmtId="165" fontId="0" fillId="0" borderId="20" xfId="0" applyNumberFormat="1" applyBorder="1"/>
    <xf numFmtId="0" fontId="3" fillId="2" borderId="33" xfId="0" applyFont="1" applyFill="1" applyBorder="1"/>
    <xf numFmtId="0" fontId="3" fillId="0" borderId="33" xfId="0" applyNumberFormat="1" applyFont="1" applyBorder="1"/>
    <xf numFmtId="0" fontId="0" fillId="0" borderId="1" xfId="0" pivotButton="1" applyBorder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indent="1"/>
    </xf>
  </cellXfs>
  <cellStyles count="2">
    <cellStyle name="Normal" xfId="0" builtinId="0"/>
    <cellStyle name="Virgül" xfId="1" builtinId="3"/>
  </cellStyles>
  <dxfs count="15">
    <dxf>
      <numFmt numFmtId="0" formatCode="General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164" formatCode="_-[$₺-41F]* #,##0.00_-;\-[$₺-41F]* #,##0.00_-;_-[$₺-41F]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[Satış Takip.xlsm]Prim Payları!PivotTable7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'Prim Payları'!$B$5:$B$6</c:f>
              <c:strCache>
                <c:ptCount val="1"/>
                <c:pt idx="0">
                  <c:v>(boş)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'Prim Payları'!$A$7:$A$29</c:f>
              <c:multiLvlStrCache>
                <c:ptCount val="18"/>
                <c:lvl>
                  <c:pt idx="0">
                    <c:v>2000</c:v>
                  </c:pt>
                  <c:pt idx="1">
                    <c:v>2001</c:v>
                  </c:pt>
                  <c:pt idx="2">
                    <c:v>2006</c:v>
                  </c:pt>
                  <c:pt idx="3">
                    <c:v>2010</c:v>
                  </c:pt>
                  <c:pt idx="4">
                    <c:v>2011</c:v>
                  </c:pt>
                  <c:pt idx="5">
                    <c:v>1999</c:v>
                  </c:pt>
                  <c:pt idx="6">
                    <c:v>2002</c:v>
                  </c:pt>
                  <c:pt idx="7">
                    <c:v>2003</c:v>
                  </c:pt>
                  <c:pt idx="8">
                    <c:v>2004</c:v>
                  </c:pt>
                  <c:pt idx="9">
                    <c:v>2007</c:v>
                  </c:pt>
                  <c:pt idx="10">
                    <c:v>2013</c:v>
                  </c:pt>
                  <c:pt idx="11">
                    <c:v>2014</c:v>
                  </c:pt>
                  <c:pt idx="12">
                    <c:v>1998</c:v>
                  </c:pt>
                  <c:pt idx="13">
                    <c:v>2005</c:v>
                  </c:pt>
                  <c:pt idx="14">
                    <c:v>2008</c:v>
                  </c:pt>
                  <c:pt idx="15">
                    <c:v>2009</c:v>
                  </c:pt>
                  <c:pt idx="16">
                    <c:v>2012</c:v>
                  </c:pt>
                  <c:pt idx="17">
                    <c:v>(boş)</c:v>
                  </c:pt>
                </c:lvl>
                <c:lvl>
                  <c:pt idx="0">
                    <c:v>Aslı Balcı</c:v>
                  </c:pt>
                  <c:pt idx="5">
                    <c:v>Engin Demir</c:v>
                  </c:pt>
                  <c:pt idx="12">
                    <c:v>Kadri Işık</c:v>
                  </c:pt>
                  <c:pt idx="17">
                    <c:v>(boş)</c:v>
                  </c:pt>
                </c:lvl>
              </c:multiLvlStrCache>
            </c:multiLvlStrRef>
          </c:cat>
          <c:val>
            <c:numRef>
              <c:f>'Prim Payları'!$B$7:$B$29</c:f>
              <c:numCache>
                <c:formatCode>General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0-9D4A-49FA-AE7B-276470987469}"/>
            </c:ext>
          </c:extLst>
        </c:ser>
        <c:ser>
          <c:idx val="1"/>
          <c:order val="1"/>
          <c:tx>
            <c:strRef>
              <c:f>'Prim Payları'!$C$5:$C$6</c:f>
              <c:strCache>
                <c:ptCount val="1"/>
                <c:pt idx="0">
                  <c:v>Şampuan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'Prim Payları'!$A$7:$A$29</c:f>
              <c:multiLvlStrCache>
                <c:ptCount val="18"/>
                <c:lvl>
                  <c:pt idx="0">
                    <c:v>2000</c:v>
                  </c:pt>
                  <c:pt idx="1">
                    <c:v>2001</c:v>
                  </c:pt>
                  <c:pt idx="2">
                    <c:v>2006</c:v>
                  </c:pt>
                  <c:pt idx="3">
                    <c:v>2010</c:v>
                  </c:pt>
                  <c:pt idx="4">
                    <c:v>2011</c:v>
                  </c:pt>
                  <c:pt idx="5">
                    <c:v>1999</c:v>
                  </c:pt>
                  <c:pt idx="6">
                    <c:v>2002</c:v>
                  </c:pt>
                  <c:pt idx="7">
                    <c:v>2003</c:v>
                  </c:pt>
                  <c:pt idx="8">
                    <c:v>2004</c:v>
                  </c:pt>
                  <c:pt idx="9">
                    <c:v>2007</c:v>
                  </c:pt>
                  <c:pt idx="10">
                    <c:v>2013</c:v>
                  </c:pt>
                  <c:pt idx="11">
                    <c:v>2014</c:v>
                  </c:pt>
                  <c:pt idx="12">
                    <c:v>1998</c:v>
                  </c:pt>
                  <c:pt idx="13">
                    <c:v>2005</c:v>
                  </c:pt>
                  <c:pt idx="14">
                    <c:v>2008</c:v>
                  </c:pt>
                  <c:pt idx="15">
                    <c:v>2009</c:v>
                  </c:pt>
                  <c:pt idx="16">
                    <c:v>2012</c:v>
                  </c:pt>
                  <c:pt idx="17">
                    <c:v>(boş)</c:v>
                  </c:pt>
                </c:lvl>
                <c:lvl>
                  <c:pt idx="0">
                    <c:v>Aslı Balcı</c:v>
                  </c:pt>
                  <c:pt idx="5">
                    <c:v>Engin Demir</c:v>
                  </c:pt>
                  <c:pt idx="12">
                    <c:v>Kadri Işık</c:v>
                  </c:pt>
                  <c:pt idx="17">
                    <c:v>(boş)</c:v>
                  </c:pt>
                </c:lvl>
              </c:multiLvlStrCache>
            </c:multiLvlStrRef>
          </c:cat>
          <c:val>
            <c:numRef>
              <c:f>'Prim Payları'!$C$7:$C$29</c:f>
              <c:numCache>
                <c:formatCode>General</c:formatCode>
                <c:ptCount val="18"/>
                <c:pt idx="0">
                  <c:v>1788</c:v>
                </c:pt>
                <c:pt idx="1">
                  <c:v>1644</c:v>
                </c:pt>
                <c:pt idx="2">
                  <c:v>2340</c:v>
                </c:pt>
                <c:pt idx="3">
                  <c:v>1872</c:v>
                </c:pt>
                <c:pt idx="4">
                  <c:v>1476</c:v>
                </c:pt>
                <c:pt idx="5">
                  <c:v>1368</c:v>
                </c:pt>
                <c:pt idx="6">
                  <c:v>1140</c:v>
                </c:pt>
                <c:pt idx="7">
                  <c:v>2028</c:v>
                </c:pt>
                <c:pt idx="8">
                  <c:v>1272</c:v>
                </c:pt>
                <c:pt idx="9">
                  <c:v>948</c:v>
                </c:pt>
                <c:pt idx="10">
                  <c:v>1416</c:v>
                </c:pt>
                <c:pt idx="11">
                  <c:v>2088</c:v>
                </c:pt>
                <c:pt idx="12">
                  <c:v>2460</c:v>
                </c:pt>
                <c:pt idx="13">
                  <c:v>1836</c:v>
                </c:pt>
                <c:pt idx="14">
                  <c:v>1764</c:v>
                </c:pt>
                <c:pt idx="15">
                  <c:v>1044</c:v>
                </c:pt>
                <c:pt idx="16">
                  <c:v>1440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4A-49FA-AE7B-276470987469}"/>
            </c:ext>
          </c:extLst>
        </c:ser>
        <c:ser>
          <c:idx val="2"/>
          <c:order val="2"/>
          <c:tx>
            <c:strRef>
              <c:f>'Prim Payları'!$D$5:$D$6</c:f>
              <c:strCache>
                <c:ptCount val="1"/>
                <c:pt idx="0">
                  <c:v>Parfüm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'Prim Payları'!$A$7:$A$29</c:f>
              <c:multiLvlStrCache>
                <c:ptCount val="18"/>
                <c:lvl>
                  <c:pt idx="0">
                    <c:v>2000</c:v>
                  </c:pt>
                  <c:pt idx="1">
                    <c:v>2001</c:v>
                  </c:pt>
                  <c:pt idx="2">
                    <c:v>2006</c:v>
                  </c:pt>
                  <c:pt idx="3">
                    <c:v>2010</c:v>
                  </c:pt>
                  <c:pt idx="4">
                    <c:v>2011</c:v>
                  </c:pt>
                  <c:pt idx="5">
                    <c:v>1999</c:v>
                  </c:pt>
                  <c:pt idx="6">
                    <c:v>2002</c:v>
                  </c:pt>
                  <c:pt idx="7">
                    <c:v>2003</c:v>
                  </c:pt>
                  <c:pt idx="8">
                    <c:v>2004</c:v>
                  </c:pt>
                  <c:pt idx="9">
                    <c:v>2007</c:v>
                  </c:pt>
                  <c:pt idx="10">
                    <c:v>2013</c:v>
                  </c:pt>
                  <c:pt idx="11">
                    <c:v>2014</c:v>
                  </c:pt>
                  <c:pt idx="12">
                    <c:v>1998</c:v>
                  </c:pt>
                  <c:pt idx="13">
                    <c:v>2005</c:v>
                  </c:pt>
                  <c:pt idx="14">
                    <c:v>2008</c:v>
                  </c:pt>
                  <c:pt idx="15">
                    <c:v>2009</c:v>
                  </c:pt>
                  <c:pt idx="16">
                    <c:v>2012</c:v>
                  </c:pt>
                  <c:pt idx="17">
                    <c:v>(boş)</c:v>
                  </c:pt>
                </c:lvl>
                <c:lvl>
                  <c:pt idx="0">
                    <c:v>Aslı Balcı</c:v>
                  </c:pt>
                  <c:pt idx="5">
                    <c:v>Engin Demir</c:v>
                  </c:pt>
                  <c:pt idx="12">
                    <c:v>Kadri Işık</c:v>
                  </c:pt>
                  <c:pt idx="17">
                    <c:v>(boş)</c:v>
                  </c:pt>
                </c:lvl>
              </c:multiLvlStrCache>
            </c:multiLvlStrRef>
          </c:cat>
          <c:val>
            <c:numRef>
              <c:f>'Prim Payları'!$D$7:$D$29</c:f>
              <c:numCache>
                <c:formatCode>General</c:formatCode>
                <c:ptCount val="18"/>
                <c:pt idx="0">
                  <c:v>4480</c:v>
                </c:pt>
                <c:pt idx="1">
                  <c:v>2380</c:v>
                </c:pt>
                <c:pt idx="2">
                  <c:v>4260</c:v>
                </c:pt>
                <c:pt idx="3">
                  <c:v>2660</c:v>
                </c:pt>
                <c:pt idx="4">
                  <c:v>2920</c:v>
                </c:pt>
                <c:pt idx="5">
                  <c:v>3020</c:v>
                </c:pt>
                <c:pt idx="6">
                  <c:v>1320</c:v>
                </c:pt>
                <c:pt idx="7">
                  <c:v>2100</c:v>
                </c:pt>
                <c:pt idx="8">
                  <c:v>2840</c:v>
                </c:pt>
                <c:pt idx="9">
                  <c:v>980</c:v>
                </c:pt>
                <c:pt idx="10">
                  <c:v>2380</c:v>
                </c:pt>
                <c:pt idx="11">
                  <c:v>2680</c:v>
                </c:pt>
                <c:pt idx="12">
                  <c:v>4040</c:v>
                </c:pt>
                <c:pt idx="13">
                  <c:v>3320</c:v>
                </c:pt>
                <c:pt idx="14">
                  <c:v>2560</c:v>
                </c:pt>
                <c:pt idx="15">
                  <c:v>3260</c:v>
                </c:pt>
                <c:pt idx="16">
                  <c:v>2400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4A-49FA-AE7B-276470987469}"/>
            </c:ext>
          </c:extLst>
        </c:ser>
        <c:ser>
          <c:idx val="3"/>
          <c:order val="3"/>
          <c:tx>
            <c:strRef>
              <c:f>'Prim Payları'!$E$5:$E$6</c:f>
              <c:strCache>
                <c:ptCount val="1"/>
                <c:pt idx="0">
                  <c:v>Deodorant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'Prim Payları'!$A$7:$A$29</c:f>
              <c:multiLvlStrCache>
                <c:ptCount val="18"/>
                <c:lvl>
                  <c:pt idx="0">
                    <c:v>2000</c:v>
                  </c:pt>
                  <c:pt idx="1">
                    <c:v>2001</c:v>
                  </c:pt>
                  <c:pt idx="2">
                    <c:v>2006</c:v>
                  </c:pt>
                  <c:pt idx="3">
                    <c:v>2010</c:v>
                  </c:pt>
                  <c:pt idx="4">
                    <c:v>2011</c:v>
                  </c:pt>
                  <c:pt idx="5">
                    <c:v>1999</c:v>
                  </c:pt>
                  <c:pt idx="6">
                    <c:v>2002</c:v>
                  </c:pt>
                  <c:pt idx="7">
                    <c:v>2003</c:v>
                  </c:pt>
                  <c:pt idx="8">
                    <c:v>2004</c:v>
                  </c:pt>
                  <c:pt idx="9">
                    <c:v>2007</c:v>
                  </c:pt>
                  <c:pt idx="10">
                    <c:v>2013</c:v>
                  </c:pt>
                  <c:pt idx="11">
                    <c:v>2014</c:v>
                  </c:pt>
                  <c:pt idx="12">
                    <c:v>1998</c:v>
                  </c:pt>
                  <c:pt idx="13">
                    <c:v>2005</c:v>
                  </c:pt>
                  <c:pt idx="14">
                    <c:v>2008</c:v>
                  </c:pt>
                  <c:pt idx="15">
                    <c:v>2009</c:v>
                  </c:pt>
                  <c:pt idx="16">
                    <c:v>2012</c:v>
                  </c:pt>
                  <c:pt idx="17">
                    <c:v>(boş)</c:v>
                  </c:pt>
                </c:lvl>
                <c:lvl>
                  <c:pt idx="0">
                    <c:v>Aslı Balcı</c:v>
                  </c:pt>
                  <c:pt idx="5">
                    <c:v>Engin Demir</c:v>
                  </c:pt>
                  <c:pt idx="12">
                    <c:v>Kadri Işık</c:v>
                  </c:pt>
                  <c:pt idx="17">
                    <c:v>(boş)</c:v>
                  </c:pt>
                </c:lvl>
              </c:multiLvlStrCache>
            </c:multiLvlStrRef>
          </c:cat>
          <c:val>
            <c:numRef>
              <c:f>'Prim Payları'!$E$7:$E$29</c:f>
              <c:numCache>
                <c:formatCode>General</c:formatCode>
                <c:ptCount val="18"/>
                <c:pt idx="0">
                  <c:v>5291</c:v>
                </c:pt>
                <c:pt idx="1">
                  <c:v>4514</c:v>
                </c:pt>
                <c:pt idx="2">
                  <c:v>3034</c:v>
                </c:pt>
                <c:pt idx="3">
                  <c:v>4366</c:v>
                </c:pt>
                <c:pt idx="4">
                  <c:v>6031</c:v>
                </c:pt>
                <c:pt idx="5">
                  <c:v>7844</c:v>
                </c:pt>
                <c:pt idx="6">
                  <c:v>5846</c:v>
                </c:pt>
                <c:pt idx="7">
                  <c:v>2072</c:v>
                </c:pt>
                <c:pt idx="8">
                  <c:v>6993</c:v>
                </c:pt>
                <c:pt idx="9">
                  <c:v>2035</c:v>
                </c:pt>
                <c:pt idx="10">
                  <c:v>6364</c:v>
                </c:pt>
                <c:pt idx="11">
                  <c:v>5587</c:v>
                </c:pt>
                <c:pt idx="12">
                  <c:v>4662</c:v>
                </c:pt>
                <c:pt idx="13">
                  <c:v>3330</c:v>
                </c:pt>
                <c:pt idx="14">
                  <c:v>7363</c:v>
                </c:pt>
                <c:pt idx="15">
                  <c:v>6475</c:v>
                </c:pt>
                <c:pt idx="16">
                  <c:v>4440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4A-49FA-AE7B-276470987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65684639"/>
        <c:axId val="1165676735"/>
      </c:barChart>
      <c:catAx>
        <c:axId val="1165684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65676735"/>
        <c:crosses val="autoZero"/>
        <c:auto val="1"/>
        <c:lblAlgn val="ctr"/>
        <c:lblOffset val="100"/>
        <c:noMultiLvlLbl val="0"/>
      </c:catAx>
      <c:valAx>
        <c:axId val="116567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65684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603885</xdr:colOff>
      <xdr:row>1</xdr:row>
      <xdr:rowOff>158115</xdr:rowOff>
    </xdr:from>
    <xdr:to>
      <xdr:col>11</xdr:col>
      <xdr:colOff>85725</xdr:colOff>
      <xdr:row>16</xdr:row>
      <xdr:rowOff>158115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171450</xdr:rowOff>
        </xdr:from>
        <xdr:to>
          <xdr:col>10</xdr:col>
          <xdr:colOff>85725</xdr:colOff>
          <xdr:row>2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Yenile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0</xdr:row>
          <xdr:rowOff>28575</xdr:rowOff>
        </xdr:from>
        <xdr:to>
          <xdr:col>4</xdr:col>
          <xdr:colOff>838200</xdr:colOff>
          <xdr:row>1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8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Maaş Dökümünü Getir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ray ATAK" refreshedDate="44701.008124537038" createdVersion="7" refreshedVersion="7" minRefreshableVersion="3" recordCount="306" xr:uid="{D150506C-95DA-46BF-8E0F-7A0DB8B81BC5}">
  <cacheSource type="worksheet">
    <worksheetSource ref="A1:I307" sheet="Satış Adetleri"/>
  </cacheSource>
  <cacheFields count="9">
    <cacheField name="Satış Tarihi" numFmtId="0">
      <sharedItems/>
    </cacheField>
    <cacheField name="Personel No" numFmtId="0">
      <sharedItems containsSemiMixedTypes="0" containsString="0" containsNumber="1" containsInteger="1" minValue="1998" maxValue="2014"/>
    </cacheField>
    <cacheField name="Personel Adı - Soyadı" numFmtId="0">
      <sharedItems/>
    </cacheField>
    <cacheField name="Bağlı Uzman" numFmtId="0">
      <sharedItems/>
    </cacheField>
    <cacheField name="Malzeme Kodu" numFmtId="0">
      <sharedItems containsSemiMixedTypes="0" containsString="0" containsNumber="1" containsInteger="1" minValue="1246" maxValue="1725"/>
    </cacheField>
    <cacheField name="Malzeme Adı" numFmtId="0">
      <sharedItems count="7">
        <s v="Şampuan"/>
        <s v="Parfüm"/>
        <s v="Deodorant"/>
        <s v="Silgi" u="1"/>
        <s v="ali" u="1"/>
        <s v="Kalem" u="1"/>
        <s v="Defter" u="1"/>
      </sharedItems>
    </cacheField>
    <cacheField name="Adet TL" numFmtId="164">
      <sharedItems containsSemiMixedTypes="0" containsString="0" containsNumber="1" containsInteger="1" minValue="12" maxValue="37"/>
    </cacheField>
    <cacheField name="Satış Adeti" numFmtId="0">
      <sharedItems containsSemiMixedTypes="0" containsString="0" containsNumber="1" containsInteger="1" minValue="0" maxValue="85"/>
    </cacheField>
    <cacheField name="Toplam TL" numFmtId="164">
      <sharedItems containsSemiMixedTypes="0" containsString="0" containsNumber="1" containsInteger="1" minValue="0" maxValue="18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ray ATAK" refreshedDate="44701.008124768516" createdVersion="7" refreshedVersion="7" minRefreshableVersion="3" recordCount="307" xr:uid="{E993E286-C5A2-41C8-BA35-FFDF0CFE2D70}">
  <cacheSource type="worksheet">
    <worksheetSource ref="A1:I1048576" sheet="Satış Adetleri"/>
  </cacheSource>
  <cacheFields count="9">
    <cacheField name="Satış Tarihi" numFmtId="0">
      <sharedItems containsBlank="1"/>
    </cacheField>
    <cacheField name="Personel No" numFmtId="0">
      <sharedItems containsString="0" containsBlank="1" containsNumber="1" containsInteger="1" minValue="1998" maxValue="2014" count="18"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m/>
      </sharedItems>
    </cacheField>
    <cacheField name="Personel Adı - Soyadı" numFmtId="0">
      <sharedItems containsBlank="1"/>
    </cacheField>
    <cacheField name="Bağlı Uzman" numFmtId="0">
      <sharedItems containsBlank="1" count="4">
        <s v="Kadri Işık"/>
        <s v="Engin Demir"/>
        <s v="Aslı Balcı"/>
        <m/>
      </sharedItems>
    </cacheField>
    <cacheField name="Malzeme Kodu" numFmtId="0">
      <sharedItems containsString="0" containsBlank="1" containsNumber="1" containsInteger="1" minValue="1246" maxValue="1725"/>
    </cacheField>
    <cacheField name="Malzeme Adı" numFmtId="0">
      <sharedItems containsBlank="1" count="8">
        <s v="Şampuan"/>
        <s v="Parfüm"/>
        <s v="Deodorant"/>
        <m/>
        <s v="Silgi" u="1"/>
        <s v="ali" u="1"/>
        <s v="Kalem" u="1"/>
        <s v="Defter" u="1"/>
      </sharedItems>
    </cacheField>
    <cacheField name="Adet TL" numFmtId="0">
      <sharedItems containsString="0" containsBlank="1" containsNumber="1" containsInteger="1" minValue="12" maxValue="37"/>
    </cacheField>
    <cacheField name="Satış Adeti" numFmtId="0">
      <sharedItems containsString="0" containsBlank="1" containsNumber="1" containsInteger="1" minValue="0" maxValue="85"/>
    </cacheField>
    <cacheField name="Toplam TL" numFmtId="0">
      <sharedItems containsString="0" containsBlank="1" containsNumber="1" containsInteger="1" minValue="0" maxValue="18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6">
  <r>
    <s v="16.05.2022"/>
    <n v="1998"/>
    <s v="Ayşe Zengin"/>
    <s v="Kadri Işık"/>
    <n v="1465"/>
    <x v="0"/>
    <n v="12"/>
    <n v="2"/>
    <n v="24"/>
  </r>
  <r>
    <s v="16.05.2022"/>
    <n v="1998"/>
    <s v="Ayşe Zengin"/>
    <s v="Kadri Işık"/>
    <n v="1246"/>
    <x v="1"/>
    <n v="20"/>
    <n v="48"/>
    <n v="960"/>
  </r>
  <r>
    <s v="16.05.2022"/>
    <n v="1998"/>
    <s v="Ayşe Zengin"/>
    <s v="Kadri Işık"/>
    <n v="1725"/>
    <x v="2"/>
    <n v="37"/>
    <n v="40"/>
    <n v="1480"/>
  </r>
  <r>
    <s v="16.05.2022"/>
    <n v="1999"/>
    <s v="Gamze Öztürk"/>
    <s v="Engin Demir"/>
    <n v="1465"/>
    <x v="0"/>
    <n v="12"/>
    <n v="13"/>
    <n v="156"/>
  </r>
  <r>
    <s v="16.05.2022"/>
    <n v="1999"/>
    <s v="Gamze Öztürk"/>
    <s v="Engin Demir"/>
    <n v="1246"/>
    <x v="1"/>
    <n v="20"/>
    <n v="35"/>
    <n v="700"/>
  </r>
  <r>
    <s v="16.05.2022"/>
    <n v="1999"/>
    <s v="Gamze Öztürk"/>
    <s v="Engin Demir"/>
    <n v="1725"/>
    <x v="2"/>
    <n v="37"/>
    <n v="30"/>
    <n v="1110"/>
  </r>
  <r>
    <s v="16.05.2022"/>
    <n v="2000"/>
    <s v="Melike Kara"/>
    <s v="Aslı Balcı"/>
    <n v="1465"/>
    <x v="0"/>
    <n v="12"/>
    <n v="38"/>
    <n v="456"/>
  </r>
  <r>
    <s v="16.05.2022"/>
    <n v="2000"/>
    <s v="Melike Kara"/>
    <s v="Aslı Balcı"/>
    <n v="1246"/>
    <x v="1"/>
    <n v="20"/>
    <n v="28"/>
    <n v="560"/>
  </r>
  <r>
    <s v="16.05.2022"/>
    <n v="2000"/>
    <s v="Melike Kara"/>
    <s v="Aslı Balcı"/>
    <n v="1725"/>
    <x v="2"/>
    <n v="37"/>
    <n v="49"/>
    <n v="1813"/>
  </r>
  <r>
    <s v="16.05.2022"/>
    <n v="2001"/>
    <s v="Emine Şimşek"/>
    <s v="Aslı Balcı"/>
    <n v="1465"/>
    <x v="0"/>
    <n v="12"/>
    <n v="7"/>
    <n v="84"/>
  </r>
  <r>
    <s v="16.05.2022"/>
    <n v="2001"/>
    <s v="Emine Şimşek"/>
    <s v="Aslı Balcı"/>
    <n v="1246"/>
    <x v="1"/>
    <n v="20"/>
    <n v="10"/>
    <n v="200"/>
  </r>
  <r>
    <s v="16.05.2022"/>
    <n v="2001"/>
    <s v="Emine Şimşek"/>
    <s v="Aslı Balcı"/>
    <n v="1725"/>
    <x v="2"/>
    <n v="37"/>
    <n v="12"/>
    <n v="444"/>
  </r>
  <r>
    <s v="16.05.2022"/>
    <n v="2002"/>
    <s v="Adem Yıldız"/>
    <s v="Engin Demir"/>
    <n v="1465"/>
    <x v="0"/>
    <n v="12"/>
    <n v="31"/>
    <n v="372"/>
  </r>
  <r>
    <s v="16.05.2022"/>
    <n v="2002"/>
    <s v="Adem Yıldız"/>
    <s v="Engin Demir"/>
    <n v="1246"/>
    <x v="1"/>
    <n v="20"/>
    <n v="3"/>
    <n v="60"/>
  </r>
  <r>
    <s v="16.05.2022"/>
    <n v="2002"/>
    <s v="Adem Yıldız"/>
    <s v="Engin Demir"/>
    <n v="1725"/>
    <x v="2"/>
    <n v="37"/>
    <n v="10"/>
    <n v="370"/>
  </r>
  <r>
    <s v="16.05.2022"/>
    <n v="2003"/>
    <s v="İbrahim Vural"/>
    <s v="Engin Demir"/>
    <n v="1465"/>
    <x v="0"/>
    <n v="12"/>
    <n v="15"/>
    <n v="180"/>
  </r>
  <r>
    <s v="16.05.2022"/>
    <n v="2003"/>
    <s v="İbrahim Vural"/>
    <s v="Engin Demir"/>
    <n v="1246"/>
    <x v="1"/>
    <n v="20"/>
    <n v="10"/>
    <n v="200"/>
  </r>
  <r>
    <s v="16.05.2022"/>
    <n v="2003"/>
    <s v="İbrahim Vural"/>
    <s v="Engin Demir"/>
    <n v="1725"/>
    <x v="2"/>
    <n v="37"/>
    <n v="5"/>
    <n v="185"/>
  </r>
  <r>
    <s v="16.05.2022"/>
    <n v="2004"/>
    <s v="Mehmet Sodacı"/>
    <s v="Engin Demir"/>
    <n v="1465"/>
    <x v="0"/>
    <n v="12"/>
    <n v="0"/>
    <n v="0"/>
  </r>
  <r>
    <s v="16.05.2022"/>
    <n v="2004"/>
    <s v="Mehmet Sodacı"/>
    <s v="Engin Demir"/>
    <n v="1246"/>
    <x v="1"/>
    <n v="20"/>
    <n v="41"/>
    <n v="820"/>
  </r>
  <r>
    <s v="16.05.2022"/>
    <n v="2004"/>
    <s v="Mehmet Sodacı"/>
    <s v="Engin Demir"/>
    <n v="1725"/>
    <x v="2"/>
    <n v="37"/>
    <n v="37"/>
    <n v="1369"/>
  </r>
  <r>
    <s v="16.05.2022"/>
    <n v="2005"/>
    <s v="Mete Özak"/>
    <s v="Kadri Işık"/>
    <n v="1465"/>
    <x v="0"/>
    <n v="12"/>
    <n v="25"/>
    <n v="300"/>
  </r>
  <r>
    <s v="16.05.2022"/>
    <n v="2005"/>
    <s v="Mete Özak"/>
    <s v="Kadri Işık"/>
    <n v="1246"/>
    <x v="1"/>
    <n v="20"/>
    <n v="29"/>
    <n v="580"/>
  </r>
  <r>
    <s v="16.05.2022"/>
    <n v="2005"/>
    <s v="Mete Özak"/>
    <s v="Kadri Işık"/>
    <n v="1725"/>
    <x v="2"/>
    <n v="37"/>
    <n v="21"/>
    <n v="777"/>
  </r>
  <r>
    <s v="16.05.2022"/>
    <n v="2006"/>
    <s v="Fatih Güldüren"/>
    <s v="Aslı Balcı"/>
    <n v="1465"/>
    <x v="0"/>
    <n v="12"/>
    <n v="43"/>
    <n v="516"/>
  </r>
  <r>
    <s v="16.05.2022"/>
    <n v="2006"/>
    <s v="Fatih Güldüren"/>
    <s v="Aslı Balcı"/>
    <n v="1246"/>
    <x v="1"/>
    <n v="20"/>
    <n v="49"/>
    <n v="980"/>
  </r>
  <r>
    <s v="16.05.2022"/>
    <n v="2006"/>
    <s v="Fatih Güldüren"/>
    <s v="Aslı Balcı"/>
    <n v="1725"/>
    <x v="2"/>
    <n v="37"/>
    <n v="0"/>
    <n v="0"/>
  </r>
  <r>
    <s v="16.05.2022"/>
    <n v="2007"/>
    <s v="Zeynep Yetişen"/>
    <s v="Engin Demir"/>
    <n v="1465"/>
    <x v="0"/>
    <n v="12"/>
    <n v="5"/>
    <n v="60"/>
  </r>
  <r>
    <s v="16.05.2022"/>
    <n v="2007"/>
    <s v="Zeynep Yetişen"/>
    <s v="Engin Demir"/>
    <n v="1246"/>
    <x v="1"/>
    <n v="20"/>
    <n v="15"/>
    <n v="300"/>
  </r>
  <r>
    <s v="16.05.2022"/>
    <n v="2007"/>
    <s v="Zeynep Yetişen"/>
    <s v="Engin Demir"/>
    <n v="1725"/>
    <x v="2"/>
    <n v="37"/>
    <n v="20"/>
    <n v="740"/>
  </r>
  <r>
    <s v="16.05.2022"/>
    <n v="2008"/>
    <s v="Ediz Ekin"/>
    <s v="Kadri Işık"/>
    <n v="1465"/>
    <x v="0"/>
    <n v="12"/>
    <n v="39"/>
    <n v="468"/>
  </r>
  <r>
    <s v="16.05.2022"/>
    <n v="2008"/>
    <s v="Ediz Ekin"/>
    <s v="Kadri Işık"/>
    <n v="1246"/>
    <x v="1"/>
    <n v="20"/>
    <n v="41"/>
    <n v="820"/>
  </r>
  <r>
    <s v="16.05.2022"/>
    <n v="2008"/>
    <s v="Ediz Ekin"/>
    <s v="Kadri Işık"/>
    <n v="1725"/>
    <x v="2"/>
    <n v="37"/>
    <n v="36"/>
    <n v="1332"/>
  </r>
  <r>
    <s v="16.05.2022"/>
    <n v="2009"/>
    <s v="Alper Çakır"/>
    <s v="Kadri Işık"/>
    <n v="1465"/>
    <x v="0"/>
    <n v="12"/>
    <n v="12"/>
    <n v="144"/>
  </r>
  <r>
    <s v="16.05.2022"/>
    <n v="2009"/>
    <s v="Alper Çakır"/>
    <s v="Kadri Işık"/>
    <n v="1246"/>
    <x v="1"/>
    <n v="20"/>
    <n v="20"/>
    <n v="400"/>
  </r>
  <r>
    <s v="16.05.2022"/>
    <n v="2009"/>
    <s v="Alper Çakır"/>
    <s v="Kadri Işık"/>
    <n v="1725"/>
    <x v="2"/>
    <n v="37"/>
    <n v="42"/>
    <n v="1554"/>
  </r>
  <r>
    <s v="16.05.2022"/>
    <n v="2010"/>
    <s v="Enver Toprak"/>
    <s v="Aslı Balcı"/>
    <n v="1465"/>
    <x v="0"/>
    <n v="12"/>
    <n v="40"/>
    <n v="480"/>
  </r>
  <r>
    <s v="16.05.2022"/>
    <n v="2010"/>
    <s v="Enver Toprak"/>
    <s v="Aslı Balcı"/>
    <n v="1246"/>
    <x v="1"/>
    <n v="20"/>
    <n v="16"/>
    <n v="320"/>
  </r>
  <r>
    <s v="16.05.2022"/>
    <n v="2010"/>
    <s v="Enver Toprak"/>
    <s v="Aslı Balcı"/>
    <n v="1725"/>
    <x v="2"/>
    <n v="37"/>
    <n v="25"/>
    <n v="925"/>
  </r>
  <r>
    <s v="16.05.2022"/>
    <n v="2011"/>
    <s v="Recep Koca"/>
    <s v="Aslı Balcı"/>
    <n v="1465"/>
    <x v="0"/>
    <n v="12"/>
    <n v="5"/>
    <n v="60"/>
  </r>
  <r>
    <s v="16.05.2022"/>
    <n v="2011"/>
    <s v="Recep Koca"/>
    <s v="Aslı Balcı"/>
    <n v="1246"/>
    <x v="1"/>
    <n v="20"/>
    <n v="30"/>
    <n v="600"/>
  </r>
  <r>
    <s v="16.05.2022"/>
    <n v="2011"/>
    <s v="Recep Koca"/>
    <s v="Aslı Balcı"/>
    <n v="1725"/>
    <x v="2"/>
    <n v="37"/>
    <n v="38"/>
    <n v="1406"/>
  </r>
  <r>
    <s v="16.05.2022"/>
    <n v="2012"/>
    <s v="Murat Maden"/>
    <s v="Kadri Işık"/>
    <n v="1465"/>
    <x v="0"/>
    <n v="12"/>
    <n v="20"/>
    <n v="240"/>
  </r>
  <r>
    <s v="16.05.2022"/>
    <n v="2012"/>
    <s v="Murat Maden"/>
    <s v="Kadri Işık"/>
    <n v="1246"/>
    <x v="1"/>
    <n v="20"/>
    <n v="20"/>
    <n v="400"/>
  </r>
  <r>
    <s v="16.05.2022"/>
    <n v="2012"/>
    <s v="Murat Maden"/>
    <s v="Kadri Işık"/>
    <n v="1725"/>
    <x v="2"/>
    <n v="37"/>
    <n v="20"/>
    <n v="740"/>
  </r>
  <r>
    <s v="16.05.2022"/>
    <n v="2013"/>
    <s v="Zeki Civan"/>
    <s v="Engin Demir"/>
    <n v="1465"/>
    <x v="0"/>
    <n v="12"/>
    <n v="35"/>
    <n v="420"/>
  </r>
  <r>
    <s v="16.05.2022"/>
    <n v="2013"/>
    <s v="Zeki Civan"/>
    <s v="Engin Demir"/>
    <n v="1246"/>
    <x v="1"/>
    <n v="20"/>
    <n v="28"/>
    <n v="560"/>
  </r>
  <r>
    <s v="16.05.2022"/>
    <n v="2013"/>
    <s v="Zeki Civan"/>
    <s v="Engin Demir"/>
    <n v="1725"/>
    <x v="2"/>
    <n v="37"/>
    <n v="29"/>
    <n v="1073"/>
  </r>
  <r>
    <s v="16.05.2022"/>
    <n v="2014"/>
    <s v="Gülsüm Çalışkan"/>
    <s v="Engin Demir"/>
    <n v="1465"/>
    <x v="0"/>
    <n v="12"/>
    <n v="12"/>
    <n v="144"/>
  </r>
  <r>
    <s v="16.05.2022"/>
    <n v="2014"/>
    <s v="Gülsüm Çalışkan"/>
    <s v="Engin Demir"/>
    <n v="1246"/>
    <x v="1"/>
    <n v="20"/>
    <n v="39"/>
    <n v="780"/>
  </r>
  <r>
    <s v="16.05.2022"/>
    <n v="2014"/>
    <s v="Gülsüm Çalışkan"/>
    <s v="Engin Demir"/>
    <n v="1725"/>
    <x v="2"/>
    <n v="37"/>
    <n v="22"/>
    <n v="814"/>
  </r>
  <r>
    <s v="17.05.2022"/>
    <n v="1998"/>
    <s v="Ayşe Zengin"/>
    <s v="Kadri Işık"/>
    <n v="1465"/>
    <x v="0"/>
    <n v="12"/>
    <n v="50"/>
    <n v="600"/>
  </r>
  <r>
    <s v="17.05.2022"/>
    <n v="1998"/>
    <s v="Ayşe Zengin"/>
    <s v="Kadri Işık"/>
    <n v="1246"/>
    <x v="1"/>
    <n v="20"/>
    <n v="36"/>
    <n v="720"/>
  </r>
  <r>
    <s v="17.05.2022"/>
    <n v="1998"/>
    <s v="Ayşe Zengin"/>
    <s v="Kadri Işık"/>
    <n v="1725"/>
    <x v="2"/>
    <n v="37"/>
    <n v="4"/>
    <n v="148"/>
  </r>
  <r>
    <s v="17.05.2022"/>
    <n v="1999"/>
    <s v="Gamze Öztürk"/>
    <s v="Engin Demir"/>
    <n v="1465"/>
    <x v="0"/>
    <n v="12"/>
    <n v="18"/>
    <n v="216"/>
  </r>
  <r>
    <s v="17.05.2022"/>
    <n v="1999"/>
    <s v="Gamze Öztürk"/>
    <s v="Engin Demir"/>
    <n v="1246"/>
    <x v="1"/>
    <n v="20"/>
    <n v="36"/>
    <n v="720"/>
  </r>
  <r>
    <s v="17.05.2022"/>
    <n v="1999"/>
    <s v="Gamze Öztürk"/>
    <s v="Engin Demir"/>
    <n v="1725"/>
    <x v="2"/>
    <n v="37"/>
    <n v="38"/>
    <n v="1406"/>
  </r>
  <r>
    <s v="17.05.2022"/>
    <n v="2000"/>
    <s v="Melike Kara"/>
    <s v="Aslı Balcı"/>
    <n v="1465"/>
    <x v="0"/>
    <n v="12"/>
    <n v="31"/>
    <n v="372"/>
  </r>
  <r>
    <s v="17.05.2022"/>
    <n v="2000"/>
    <s v="Melike Kara"/>
    <s v="Aslı Balcı"/>
    <n v="1246"/>
    <x v="1"/>
    <n v="20"/>
    <n v="44"/>
    <n v="880"/>
  </r>
  <r>
    <s v="17.05.2022"/>
    <n v="2000"/>
    <s v="Melike Kara"/>
    <s v="Aslı Balcı"/>
    <n v="1725"/>
    <x v="2"/>
    <n v="37"/>
    <n v="21"/>
    <n v="777"/>
  </r>
  <r>
    <s v="17.05.2022"/>
    <n v="2001"/>
    <s v="Emine Şimşek"/>
    <s v="Aslı Balcı"/>
    <n v="1465"/>
    <x v="0"/>
    <n v="12"/>
    <n v="21"/>
    <n v="252"/>
  </r>
  <r>
    <s v="17.05.2022"/>
    <n v="2001"/>
    <s v="Emine Şimşek"/>
    <s v="Aslı Balcı"/>
    <n v="1246"/>
    <x v="1"/>
    <n v="20"/>
    <n v="12"/>
    <n v="240"/>
  </r>
  <r>
    <s v="17.05.2022"/>
    <n v="2001"/>
    <s v="Emine Şimşek"/>
    <s v="Aslı Balcı"/>
    <n v="1725"/>
    <x v="2"/>
    <n v="37"/>
    <n v="15"/>
    <n v="555"/>
  </r>
  <r>
    <s v="17.05.2022"/>
    <n v="2002"/>
    <s v="Adem Yıldız"/>
    <s v="Engin Demir"/>
    <n v="1465"/>
    <x v="0"/>
    <n v="12"/>
    <n v="16"/>
    <n v="192"/>
  </r>
  <r>
    <s v="17.05.2022"/>
    <n v="2002"/>
    <s v="Adem Yıldız"/>
    <s v="Engin Demir"/>
    <n v="1246"/>
    <x v="1"/>
    <n v="20"/>
    <n v="4"/>
    <n v="80"/>
  </r>
  <r>
    <s v="17.05.2022"/>
    <n v="2002"/>
    <s v="Adem Yıldız"/>
    <s v="Engin Demir"/>
    <n v="1725"/>
    <x v="2"/>
    <n v="37"/>
    <n v="31"/>
    <n v="1147"/>
  </r>
  <r>
    <s v="17.05.2022"/>
    <n v="2003"/>
    <s v="İbrahim Vural"/>
    <s v="Engin Demir"/>
    <n v="1465"/>
    <x v="0"/>
    <n v="12"/>
    <n v="7"/>
    <n v="84"/>
  </r>
  <r>
    <s v="17.05.2022"/>
    <n v="2003"/>
    <s v="İbrahim Vural"/>
    <s v="Engin Demir"/>
    <n v="1246"/>
    <x v="1"/>
    <n v="20"/>
    <n v="8"/>
    <n v="160"/>
  </r>
  <r>
    <s v="17.05.2022"/>
    <n v="2003"/>
    <s v="İbrahim Vural"/>
    <s v="Engin Demir"/>
    <n v="1725"/>
    <x v="2"/>
    <n v="37"/>
    <n v="9"/>
    <n v="333"/>
  </r>
  <r>
    <s v="17.05.2022"/>
    <n v="2004"/>
    <s v="Mehmet Sodacı"/>
    <s v="Engin Demir"/>
    <n v="1465"/>
    <x v="0"/>
    <n v="12"/>
    <n v="26"/>
    <n v="312"/>
  </r>
  <r>
    <s v="17.05.2022"/>
    <n v="2004"/>
    <s v="Mehmet Sodacı"/>
    <s v="Engin Demir"/>
    <n v="1246"/>
    <x v="1"/>
    <n v="20"/>
    <n v="31"/>
    <n v="620"/>
  </r>
  <r>
    <s v="17.05.2022"/>
    <n v="2004"/>
    <s v="Mehmet Sodacı"/>
    <s v="Engin Demir"/>
    <n v="1725"/>
    <x v="2"/>
    <n v="37"/>
    <n v="49"/>
    <n v="1813"/>
  </r>
  <r>
    <s v="17.05.2022"/>
    <n v="2005"/>
    <s v="Mete Özak"/>
    <s v="Kadri Işık"/>
    <n v="1465"/>
    <x v="0"/>
    <n v="12"/>
    <n v="41"/>
    <n v="492"/>
  </r>
  <r>
    <s v="17.05.2022"/>
    <n v="2005"/>
    <s v="Mete Özak"/>
    <s v="Kadri Işık"/>
    <n v="1246"/>
    <x v="1"/>
    <n v="20"/>
    <n v="16"/>
    <n v="320"/>
  </r>
  <r>
    <s v="17.05.2022"/>
    <n v="2005"/>
    <s v="Mete Özak"/>
    <s v="Kadri Işık"/>
    <n v="1725"/>
    <x v="2"/>
    <n v="37"/>
    <n v="0"/>
    <n v="0"/>
  </r>
  <r>
    <s v="17.05.2022"/>
    <n v="2006"/>
    <s v="Fatih Güldüren"/>
    <s v="Aslı Balcı"/>
    <n v="1465"/>
    <x v="0"/>
    <n v="12"/>
    <n v="19"/>
    <n v="228"/>
  </r>
  <r>
    <s v="17.05.2022"/>
    <n v="2006"/>
    <s v="Fatih Güldüren"/>
    <s v="Aslı Balcı"/>
    <n v="1246"/>
    <x v="1"/>
    <n v="20"/>
    <n v="37"/>
    <n v="740"/>
  </r>
  <r>
    <s v="17.05.2022"/>
    <n v="2006"/>
    <s v="Fatih Güldüren"/>
    <s v="Aslı Balcı"/>
    <n v="1725"/>
    <x v="2"/>
    <n v="37"/>
    <n v="24"/>
    <n v="888"/>
  </r>
  <r>
    <s v="17.05.2022"/>
    <n v="2007"/>
    <s v="Zeynep Yetişen"/>
    <s v="Engin Demir"/>
    <n v="1465"/>
    <x v="0"/>
    <n v="12"/>
    <n v="15"/>
    <n v="180"/>
  </r>
  <r>
    <s v="17.05.2022"/>
    <n v="2007"/>
    <s v="Zeynep Yetişen"/>
    <s v="Engin Demir"/>
    <n v="1246"/>
    <x v="1"/>
    <n v="20"/>
    <n v="15"/>
    <n v="300"/>
  </r>
  <r>
    <s v="17.05.2022"/>
    <n v="2007"/>
    <s v="Zeynep Yetişen"/>
    <s v="Engin Demir"/>
    <n v="1725"/>
    <x v="2"/>
    <n v="37"/>
    <n v="10"/>
    <n v="370"/>
  </r>
  <r>
    <s v="17.05.2022"/>
    <n v="2008"/>
    <s v="Ediz Ekin"/>
    <s v="Kadri Işık"/>
    <n v="1465"/>
    <x v="0"/>
    <n v="12"/>
    <n v="26"/>
    <n v="312"/>
  </r>
  <r>
    <s v="17.05.2022"/>
    <n v="2008"/>
    <s v="Ediz Ekin"/>
    <s v="Kadri Işık"/>
    <n v="1246"/>
    <x v="1"/>
    <n v="20"/>
    <n v="26"/>
    <n v="520"/>
  </r>
  <r>
    <s v="17.05.2022"/>
    <n v="2008"/>
    <s v="Ediz Ekin"/>
    <s v="Kadri Işık"/>
    <n v="1725"/>
    <x v="2"/>
    <n v="37"/>
    <n v="46"/>
    <n v="1702"/>
  </r>
  <r>
    <s v="17.05.2022"/>
    <n v="2009"/>
    <s v="Alper Çakır"/>
    <s v="Kadri Işık"/>
    <n v="1465"/>
    <x v="0"/>
    <n v="12"/>
    <n v="20"/>
    <n v="240"/>
  </r>
  <r>
    <s v="17.05.2022"/>
    <n v="2009"/>
    <s v="Alper Çakır"/>
    <s v="Kadri Işık"/>
    <n v="1246"/>
    <x v="1"/>
    <n v="20"/>
    <n v="13"/>
    <n v="260"/>
  </r>
  <r>
    <s v="17.05.2022"/>
    <n v="2009"/>
    <s v="Alper Çakır"/>
    <s v="Kadri Işık"/>
    <n v="1725"/>
    <x v="2"/>
    <n v="37"/>
    <n v="18"/>
    <n v="666"/>
  </r>
  <r>
    <s v="17.05.2022"/>
    <n v="2010"/>
    <s v="Enver Toprak"/>
    <s v="Aslı Balcı"/>
    <n v="1465"/>
    <x v="0"/>
    <n v="12"/>
    <n v="49"/>
    <n v="588"/>
  </r>
  <r>
    <s v="17.05.2022"/>
    <n v="2010"/>
    <s v="Enver Toprak"/>
    <s v="Aslı Balcı"/>
    <n v="1246"/>
    <x v="1"/>
    <n v="20"/>
    <n v="22"/>
    <n v="440"/>
  </r>
  <r>
    <s v="17.05.2022"/>
    <n v="2010"/>
    <s v="Enver Toprak"/>
    <s v="Aslı Balcı"/>
    <n v="1725"/>
    <x v="2"/>
    <n v="37"/>
    <n v="13"/>
    <n v="481"/>
  </r>
  <r>
    <s v="17.05.2022"/>
    <n v="2011"/>
    <s v="Recep Koca"/>
    <s v="Aslı Balcı"/>
    <n v="1465"/>
    <x v="0"/>
    <n v="12"/>
    <n v="23"/>
    <n v="276"/>
  </r>
  <r>
    <s v="17.05.2022"/>
    <n v="2011"/>
    <s v="Recep Koca"/>
    <s v="Aslı Balcı"/>
    <n v="1246"/>
    <x v="1"/>
    <n v="20"/>
    <n v="13"/>
    <n v="260"/>
  </r>
  <r>
    <s v="17.05.2022"/>
    <n v="2011"/>
    <s v="Recep Koca"/>
    <s v="Aslı Balcı"/>
    <n v="1725"/>
    <x v="2"/>
    <n v="37"/>
    <n v="30"/>
    <n v="1110"/>
  </r>
  <r>
    <s v="17.05.2022"/>
    <n v="2012"/>
    <s v="Murat Maden"/>
    <s v="Kadri Işık"/>
    <n v="1465"/>
    <x v="0"/>
    <n v="12"/>
    <n v="20"/>
    <n v="240"/>
  </r>
  <r>
    <s v="17.05.2022"/>
    <n v="2012"/>
    <s v="Murat Maden"/>
    <s v="Kadri Işık"/>
    <n v="1246"/>
    <x v="1"/>
    <n v="20"/>
    <n v="20"/>
    <n v="400"/>
  </r>
  <r>
    <s v="17.05.2022"/>
    <n v="2012"/>
    <s v="Murat Maden"/>
    <s v="Kadri Işık"/>
    <n v="1725"/>
    <x v="2"/>
    <n v="37"/>
    <n v="20"/>
    <n v="740"/>
  </r>
  <r>
    <s v="17.05.2022"/>
    <n v="2013"/>
    <s v="Zeki Civan"/>
    <s v="Engin Demir"/>
    <n v="1465"/>
    <x v="0"/>
    <n v="12"/>
    <n v="42"/>
    <n v="504"/>
  </r>
  <r>
    <s v="17.05.2022"/>
    <n v="2013"/>
    <s v="Zeki Civan"/>
    <s v="Engin Demir"/>
    <n v="1246"/>
    <x v="1"/>
    <n v="20"/>
    <n v="18"/>
    <n v="360"/>
  </r>
  <r>
    <s v="17.05.2022"/>
    <n v="2013"/>
    <s v="Zeki Civan"/>
    <s v="Engin Demir"/>
    <n v="1725"/>
    <x v="2"/>
    <n v="37"/>
    <n v="2"/>
    <n v="74"/>
  </r>
  <r>
    <s v="17.05.2022"/>
    <n v="2014"/>
    <s v="Gülsüm Çalışkan"/>
    <s v="Engin Demir"/>
    <n v="1465"/>
    <x v="0"/>
    <n v="12"/>
    <n v="41"/>
    <n v="492"/>
  </r>
  <r>
    <s v="17.05.2022"/>
    <n v="2014"/>
    <s v="Gülsüm Çalışkan"/>
    <s v="Engin Demir"/>
    <n v="1246"/>
    <x v="1"/>
    <n v="20"/>
    <n v="28"/>
    <n v="560"/>
  </r>
  <r>
    <s v="17.05.2022"/>
    <n v="2014"/>
    <s v="Gülsüm Çalışkan"/>
    <s v="Engin Demir"/>
    <n v="1725"/>
    <x v="2"/>
    <n v="37"/>
    <n v="39"/>
    <n v="1443"/>
  </r>
  <r>
    <s v="18.05.2022"/>
    <n v="1998"/>
    <s v="Ayşe Zengin"/>
    <s v="Kadri Işık"/>
    <n v="1465"/>
    <x v="0"/>
    <n v="12"/>
    <n v="37"/>
    <n v="444"/>
  </r>
  <r>
    <s v="18.05.2022"/>
    <n v="1998"/>
    <s v="Ayşe Zengin"/>
    <s v="Kadri Işık"/>
    <n v="1246"/>
    <x v="1"/>
    <n v="20"/>
    <n v="25"/>
    <n v="500"/>
  </r>
  <r>
    <s v="18.05.2022"/>
    <n v="1998"/>
    <s v="Ayşe Zengin"/>
    <s v="Kadri Işık"/>
    <n v="1725"/>
    <x v="2"/>
    <n v="37"/>
    <n v="8"/>
    <n v="296"/>
  </r>
  <r>
    <s v="18.05.2022"/>
    <n v="1999"/>
    <s v="Gamze Öztürk"/>
    <s v="Engin Demir"/>
    <n v="1465"/>
    <x v="0"/>
    <n v="12"/>
    <n v="7"/>
    <n v="84"/>
  </r>
  <r>
    <s v="18.05.2022"/>
    <n v="1999"/>
    <s v="Gamze Öztürk"/>
    <s v="Engin Demir"/>
    <n v="1246"/>
    <x v="1"/>
    <n v="20"/>
    <n v="32"/>
    <n v="640"/>
  </r>
  <r>
    <s v="18.05.2022"/>
    <n v="1999"/>
    <s v="Gamze Öztürk"/>
    <s v="Engin Demir"/>
    <n v="1725"/>
    <x v="2"/>
    <n v="37"/>
    <n v="47"/>
    <n v="1739"/>
  </r>
  <r>
    <s v="18.05.2022"/>
    <n v="2000"/>
    <s v="Melike Kara"/>
    <s v="Aslı Balcı"/>
    <n v="1465"/>
    <x v="0"/>
    <n v="12"/>
    <n v="1"/>
    <n v="12"/>
  </r>
  <r>
    <s v="18.05.2022"/>
    <n v="2000"/>
    <s v="Melike Kara"/>
    <s v="Aslı Balcı"/>
    <n v="1246"/>
    <x v="1"/>
    <n v="20"/>
    <n v="32"/>
    <n v="640"/>
  </r>
  <r>
    <s v="18.05.2022"/>
    <n v="2000"/>
    <s v="Melike Kara"/>
    <s v="Aslı Balcı"/>
    <n v="1725"/>
    <x v="2"/>
    <n v="37"/>
    <n v="16"/>
    <n v="592"/>
  </r>
  <r>
    <s v="18.05.2022"/>
    <n v="2001"/>
    <s v="Emine Şimşek"/>
    <s v="Aslı Balcı"/>
    <n v="1465"/>
    <x v="0"/>
    <n v="12"/>
    <n v="29"/>
    <n v="348"/>
  </r>
  <r>
    <s v="18.05.2022"/>
    <n v="2001"/>
    <s v="Emine Şimşek"/>
    <s v="Aslı Balcı"/>
    <n v="1246"/>
    <x v="1"/>
    <n v="20"/>
    <n v="17"/>
    <n v="340"/>
  </r>
  <r>
    <s v="18.05.2022"/>
    <n v="2001"/>
    <s v="Emine Şimşek"/>
    <s v="Aslı Balcı"/>
    <n v="1725"/>
    <x v="2"/>
    <n v="37"/>
    <n v="3"/>
    <n v="111"/>
  </r>
  <r>
    <s v="18.05.2022"/>
    <n v="2002"/>
    <s v="Adem Yıldız"/>
    <s v="Engin Demir"/>
    <n v="1465"/>
    <x v="0"/>
    <n v="12"/>
    <n v="28"/>
    <n v="336"/>
  </r>
  <r>
    <s v="18.05.2022"/>
    <n v="2002"/>
    <s v="Adem Yıldız"/>
    <s v="Engin Demir"/>
    <n v="1246"/>
    <x v="1"/>
    <n v="20"/>
    <n v="7"/>
    <n v="140"/>
  </r>
  <r>
    <s v="18.05.2022"/>
    <n v="2002"/>
    <s v="Adem Yıldız"/>
    <s v="Engin Demir"/>
    <n v="1725"/>
    <x v="2"/>
    <n v="37"/>
    <n v="27"/>
    <n v="999"/>
  </r>
  <r>
    <s v="18.05.2022"/>
    <n v="2003"/>
    <s v="İbrahim Vural"/>
    <s v="Engin Demir"/>
    <n v="1465"/>
    <x v="0"/>
    <n v="12"/>
    <n v="4"/>
    <n v="48"/>
  </r>
  <r>
    <s v="18.05.2022"/>
    <n v="2003"/>
    <s v="İbrahim Vural"/>
    <s v="Engin Demir"/>
    <n v="1246"/>
    <x v="1"/>
    <n v="20"/>
    <n v="41"/>
    <n v="820"/>
  </r>
  <r>
    <s v="18.05.2022"/>
    <n v="2003"/>
    <s v="İbrahim Vural"/>
    <s v="Engin Demir"/>
    <n v="1725"/>
    <x v="2"/>
    <n v="37"/>
    <n v="4"/>
    <n v="148"/>
  </r>
  <r>
    <s v="18.05.2022"/>
    <n v="2004"/>
    <s v="Mehmet Sodacı"/>
    <s v="Engin Demir"/>
    <n v="1465"/>
    <x v="0"/>
    <n v="12"/>
    <n v="6"/>
    <n v="72"/>
  </r>
  <r>
    <s v="18.05.2022"/>
    <n v="2004"/>
    <s v="Mehmet Sodacı"/>
    <s v="Engin Demir"/>
    <n v="1246"/>
    <x v="1"/>
    <n v="20"/>
    <n v="42"/>
    <n v="840"/>
  </r>
  <r>
    <s v="18.05.2022"/>
    <n v="2004"/>
    <s v="Mehmet Sodacı"/>
    <s v="Engin Demir"/>
    <n v="1725"/>
    <x v="2"/>
    <n v="37"/>
    <n v="25"/>
    <n v="925"/>
  </r>
  <r>
    <s v="18.05.2022"/>
    <n v="2005"/>
    <s v="Mete Özak"/>
    <s v="Kadri Işık"/>
    <n v="1465"/>
    <x v="0"/>
    <n v="12"/>
    <n v="39"/>
    <n v="468"/>
  </r>
  <r>
    <s v="18.05.2022"/>
    <n v="2005"/>
    <s v="Mete Özak"/>
    <s v="Kadri Işık"/>
    <n v="1246"/>
    <x v="1"/>
    <n v="20"/>
    <n v="20"/>
    <n v="400"/>
  </r>
  <r>
    <s v="18.05.2022"/>
    <n v="2005"/>
    <s v="Mete Özak"/>
    <s v="Kadri Işık"/>
    <n v="1725"/>
    <x v="2"/>
    <n v="37"/>
    <n v="5"/>
    <n v="185"/>
  </r>
  <r>
    <s v="18.05.2022"/>
    <n v="2006"/>
    <s v="Fatih Güldüren"/>
    <s v="Aslı Balcı"/>
    <n v="1465"/>
    <x v="0"/>
    <n v="12"/>
    <n v="8"/>
    <n v="96"/>
  </r>
  <r>
    <s v="18.05.2022"/>
    <n v="2006"/>
    <s v="Fatih Güldüren"/>
    <s v="Aslı Balcı"/>
    <n v="1246"/>
    <x v="1"/>
    <n v="20"/>
    <n v="42"/>
    <n v="840"/>
  </r>
  <r>
    <s v="18.05.2022"/>
    <n v="2006"/>
    <s v="Fatih Güldüren"/>
    <s v="Aslı Balcı"/>
    <n v="1725"/>
    <x v="2"/>
    <n v="37"/>
    <n v="6"/>
    <n v="222"/>
  </r>
  <r>
    <s v="18.05.2022"/>
    <n v="2007"/>
    <s v="Zeynep Yetişen"/>
    <s v="Engin Demir"/>
    <n v="1465"/>
    <x v="0"/>
    <n v="12"/>
    <n v="7"/>
    <n v="84"/>
  </r>
  <r>
    <s v="18.05.2022"/>
    <n v="2007"/>
    <s v="Zeynep Yetişen"/>
    <s v="Engin Demir"/>
    <n v="1246"/>
    <x v="1"/>
    <n v="20"/>
    <n v="8"/>
    <n v="160"/>
  </r>
  <r>
    <s v="18.05.2022"/>
    <n v="2007"/>
    <s v="Zeynep Yetişen"/>
    <s v="Engin Demir"/>
    <n v="1725"/>
    <x v="2"/>
    <n v="37"/>
    <n v="9"/>
    <n v="333"/>
  </r>
  <r>
    <s v="18.05.2022"/>
    <n v="2008"/>
    <s v="Ediz Ekin"/>
    <s v="Kadri Işık"/>
    <n v="1465"/>
    <x v="0"/>
    <n v="12"/>
    <n v="22"/>
    <n v="264"/>
  </r>
  <r>
    <s v="18.05.2022"/>
    <n v="2008"/>
    <s v="Ediz Ekin"/>
    <s v="Kadri Işık"/>
    <n v="1246"/>
    <x v="1"/>
    <n v="20"/>
    <n v="11"/>
    <n v="220"/>
  </r>
  <r>
    <s v="18.05.2022"/>
    <n v="2008"/>
    <s v="Ediz Ekin"/>
    <s v="Kadri Işık"/>
    <n v="1725"/>
    <x v="2"/>
    <n v="37"/>
    <n v="47"/>
    <n v="1739"/>
  </r>
  <r>
    <s v="18.05.2022"/>
    <n v="2009"/>
    <s v="Alper Çakır"/>
    <s v="Kadri Işık"/>
    <n v="1465"/>
    <x v="0"/>
    <n v="12"/>
    <n v="9"/>
    <n v="108"/>
  </r>
  <r>
    <s v="18.05.2022"/>
    <n v="2009"/>
    <s v="Alper Çakır"/>
    <s v="Kadri Işık"/>
    <n v="1246"/>
    <x v="1"/>
    <n v="20"/>
    <n v="4"/>
    <n v="80"/>
  </r>
  <r>
    <s v="18.05.2022"/>
    <n v="2009"/>
    <s v="Alper Çakır"/>
    <s v="Kadri Işık"/>
    <n v="1725"/>
    <x v="2"/>
    <n v="37"/>
    <n v="25"/>
    <n v="925"/>
  </r>
  <r>
    <s v="18.05.2022"/>
    <n v="2010"/>
    <s v="Enver Toprak"/>
    <s v="Aslı Balcı"/>
    <n v="1465"/>
    <x v="0"/>
    <n v="12"/>
    <n v="0"/>
    <n v="0"/>
  </r>
  <r>
    <s v="18.05.2022"/>
    <n v="2010"/>
    <s v="Enver Toprak"/>
    <s v="Aslı Balcı"/>
    <n v="1246"/>
    <x v="1"/>
    <n v="20"/>
    <n v="24"/>
    <n v="480"/>
  </r>
  <r>
    <s v="18.05.2022"/>
    <n v="2010"/>
    <s v="Enver Toprak"/>
    <s v="Aslı Balcı"/>
    <n v="1725"/>
    <x v="2"/>
    <n v="37"/>
    <n v="30"/>
    <n v="1110"/>
  </r>
  <r>
    <s v="18.05.2022"/>
    <n v="2011"/>
    <s v="Recep Koca"/>
    <s v="Aslı Balcı"/>
    <n v="1465"/>
    <x v="0"/>
    <n v="12"/>
    <n v="11"/>
    <n v="132"/>
  </r>
  <r>
    <s v="18.05.2022"/>
    <n v="2011"/>
    <s v="Recep Koca"/>
    <s v="Aslı Balcı"/>
    <n v="1246"/>
    <x v="1"/>
    <n v="20"/>
    <n v="16"/>
    <n v="320"/>
  </r>
  <r>
    <s v="18.05.2022"/>
    <n v="2011"/>
    <s v="Recep Koca"/>
    <s v="Aslı Balcı"/>
    <n v="1725"/>
    <x v="2"/>
    <n v="37"/>
    <n v="14"/>
    <n v="518"/>
  </r>
  <r>
    <s v="18.05.2022"/>
    <n v="2012"/>
    <s v="Murat Maden"/>
    <s v="Kadri Işık"/>
    <n v="1465"/>
    <x v="0"/>
    <n v="12"/>
    <n v="20"/>
    <n v="240"/>
  </r>
  <r>
    <s v="18.05.2022"/>
    <n v="2012"/>
    <s v="Murat Maden"/>
    <s v="Kadri Işık"/>
    <n v="1246"/>
    <x v="1"/>
    <n v="20"/>
    <n v="20"/>
    <n v="400"/>
  </r>
  <r>
    <s v="18.05.2022"/>
    <n v="2012"/>
    <s v="Murat Maden"/>
    <s v="Kadri Işık"/>
    <n v="1725"/>
    <x v="2"/>
    <n v="37"/>
    <n v="20"/>
    <n v="740"/>
  </r>
  <r>
    <s v="18.05.2022"/>
    <n v="2013"/>
    <s v="Zeki Civan"/>
    <s v="Engin Demir"/>
    <n v="1465"/>
    <x v="0"/>
    <n v="12"/>
    <n v="13"/>
    <n v="156"/>
  </r>
  <r>
    <s v="18.05.2022"/>
    <n v="2013"/>
    <s v="Zeki Civan"/>
    <s v="Engin Demir"/>
    <n v="1246"/>
    <x v="1"/>
    <n v="20"/>
    <n v="5"/>
    <n v="100"/>
  </r>
  <r>
    <s v="18.05.2022"/>
    <n v="2013"/>
    <s v="Zeki Civan"/>
    <s v="Engin Demir"/>
    <n v="1725"/>
    <x v="2"/>
    <n v="37"/>
    <n v="32"/>
    <n v="1184"/>
  </r>
  <r>
    <s v="18.05.2022"/>
    <n v="2014"/>
    <s v="Gülsüm Çalışkan"/>
    <s v="Engin Demir"/>
    <n v="1465"/>
    <x v="0"/>
    <n v="12"/>
    <n v="50"/>
    <n v="600"/>
  </r>
  <r>
    <s v="18.05.2022"/>
    <n v="2014"/>
    <s v="Gülsüm Çalışkan"/>
    <s v="Engin Demir"/>
    <n v="1246"/>
    <x v="1"/>
    <n v="20"/>
    <n v="21"/>
    <n v="420"/>
  </r>
  <r>
    <s v="18.05.2022"/>
    <n v="2014"/>
    <s v="Gülsüm Çalışkan"/>
    <s v="Engin Demir"/>
    <n v="1725"/>
    <x v="2"/>
    <n v="37"/>
    <n v="42"/>
    <n v="1554"/>
  </r>
  <r>
    <s v="19.05.2022"/>
    <n v="1998"/>
    <s v="Ayşe Zengin"/>
    <s v="Kadri Işık"/>
    <n v="1465"/>
    <x v="0"/>
    <n v="12"/>
    <n v="33"/>
    <n v="396"/>
  </r>
  <r>
    <s v="19.05.2022"/>
    <n v="1998"/>
    <s v="Ayşe Zengin"/>
    <s v="Kadri Işık"/>
    <n v="1246"/>
    <x v="1"/>
    <n v="20"/>
    <n v="28"/>
    <n v="560"/>
  </r>
  <r>
    <s v="19.05.2022"/>
    <n v="1998"/>
    <s v="Ayşe Zengin"/>
    <s v="Kadri Işık"/>
    <n v="1725"/>
    <x v="2"/>
    <n v="37"/>
    <n v="5"/>
    <n v="185"/>
  </r>
  <r>
    <s v="19.05.2022"/>
    <n v="1999"/>
    <s v="Gamze Öztürk"/>
    <s v="Engin Demir"/>
    <n v="1465"/>
    <x v="0"/>
    <n v="12"/>
    <n v="0"/>
    <n v="0"/>
  </r>
  <r>
    <s v="19.05.2022"/>
    <n v="1999"/>
    <s v="Gamze Öztürk"/>
    <s v="Engin Demir"/>
    <n v="1246"/>
    <x v="1"/>
    <n v="20"/>
    <n v="26"/>
    <n v="520"/>
  </r>
  <r>
    <s v="19.05.2022"/>
    <n v="1999"/>
    <s v="Gamze Öztürk"/>
    <s v="Engin Demir"/>
    <n v="1725"/>
    <x v="2"/>
    <n v="37"/>
    <n v="18"/>
    <n v="666"/>
  </r>
  <r>
    <s v="19.05.2022"/>
    <n v="2000"/>
    <s v="Melike Kara"/>
    <s v="Aslı Balcı"/>
    <n v="1465"/>
    <x v="0"/>
    <n v="12"/>
    <n v="48"/>
    <n v="576"/>
  </r>
  <r>
    <s v="19.05.2022"/>
    <n v="2000"/>
    <s v="Melike Kara"/>
    <s v="Aslı Balcı"/>
    <n v="1246"/>
    <x v="1"/>
    <n v="20"/>
    <n v="50"/>
    <n v="1000"/>
  </r>
  <r>
    <s v="19.05.2022"/>
    <n v="2000"/>
    <s v="Melike Kara"/>
    <s v="Aslı Balcı"/>
    <n v="1725"/>
    <x v="2"/>
    <n v="37"/>
    <n v="3"/>
    <n v="111"/>
  </r>
  <r>
    <s v="19.05.2022"/>
    <n v="2001"/>
    <s v="Emine Şimşek"/>
    <s v="Aslı Balcı"/>
    <n v="1465"/>
    <x v="0"/>
    <n v="12"/>
    <n v="23"/>
    <n v="276"/>
  </r>
  <r>
    <s v="19.05.2022"/>
    <n v="2001"/>
    <s v="Emine Şimşek"/>
    <s v="Aslı Balcı"/>
    <n v="1246"/>
    <x v="1"/>
    <n v="20"/>
    <n v="16"/>
    <n v="320"/>
  </r>
  <r>
    <s v="19.05.2022"/>
    <n v="2001"/>
    <s v="Emine Şimşek"/>
    <s v="Aslı Balcı"/>
    <n v="1725"/>
    <x v="2"/>
    <n v="37"/>
    <n v="47"/>
    <n v="1739"/>
  </r>
  <r>
    <s v="19.05.2022"/>
    <n v="2002"/>
    <s v="Adem Yıldız"/>
    <s v="Engin Demir"/>
    <n v="1465"/>
    <x v="0"/>
    <n v="12"/>
    <n v="10"/>
    <n v="120"/>
  </r>
  <r>
    <s v="19.05.2022"/>
    <n v="2002"/>
    <s v="Adem Yıldız"/>
    <s v="Engin Demir"/>
    <n v="1246"/>
    <x v="1"/>
    <n v="20"/>
    <n v="16"/>
    <n v="320"/>
  </r>
  <r>
    <s v="19.05.2022"/>
    <n v="2002"/>
    <s v="Adem Yıldız"/>
    <s v="Engin Demir"/>
    <n v="1725"/>
    <x v="2"/>
    <n v="37"/>
    <n v="49"/>
    <n v="1813"/>
  </r>
  <r>
    <s v="19.05.2022"/>
    <n v="2003"/>
    <s v="İbrahim Vural"/>
    <s v="Engin Demir"/>
    <n v="1465"/>
    <x v="0"/>
    <n v="12"/>
    <n v="4"/>
    <n v="48"/>
  </r>
  <r>
    <s v="19.05.2022"/>
    <n v="2003"/>
    <s v="İbrahim Vural"/>
    <s v="Engin Demir"/>
    <n v="1246"/>
    <x v="1"/>
    <n v="20"/>
    <n v="4"/>
    <n v="80"/>
  </r>
  <r>
    <s v="19.05.2022"/>
    <n v="2003"/>
    <s v="İbrahim Vural"/>
    <s v="Engin Demir"/>
    <n v="1725"/>
    <x v="2"/>
    <n v="37"/>
    <n v="12"/>
    <n v="444"/>
  </r>
  <r>
    <s v="19.05.2022"/>
    <n v="2004"/>
    <s v="Mehmet Sodacı"/>
    <s v="Engin Demir"/>
    <n v="1465"/>
    <x v="0"/>
    <n v="12"/>
    <n v="39"/>
    <n v="468"/>
  </r>
  <r>
    <s v="19.05.2022"/>
    <n v="2004"/>
    <s v="Mehmet Sodacı"/>
    <s v="Engin Demir"/>
    <n v="1246"/>
    <x v="1"/>
    <n v="20"/>
    <n v="17"/>
    <n v="340"/>
  </r>
  <r>
    <s v="19.05.2022"/>
    <n v="2004"/>
    <s v="Mehmet Sodacı"/>
    <s v="Engin Demir"/>
    <n v="1725"/>
    <x v="2"/>
    <n v="37"/>
    <n v="33"/>
    <n v="1221"/>
  </r>
  <r>
    <s v="19.05.2022"/>
    <n v="2005"/>
    <s v="Mete Özak"/>
    <s v="Kadri Işık"/>
    <n v="1465"/>
    <x v="0"/>
    <n v="12"/>
    <n v="9"/>
    <n v="108"/>
  </r>
  <r>
    <s v="19.05.2022"/>
    <n v="2005"/>
    <s v="Mete Özak"/>
    <s v="Kadri Işık"/>
    <n v="1246"/>
    <x v="1"/>
    <n v="20"/>
    <n v="44"/>
    <n v="880"/>
  </r>
  <r>
    <s v="19.05.2022"/>
    <n v="2005"/>
    <s v="Mete Özak"/>
    <s v="Kadri Işık"/>
    <n v="1725"/>
    <x v="2"/>
    <n v="37"/>
    <n v="29"/>
    <n v="1073"/>
  </r>
  <r>
    <s v="19.05.2022"/>
    <n v="2006"/>
    <s v="Fatih Güldüren"/>
    <s v="Aslı Balcı"/>
    <n v="1465"/>
    <x v="0"/>
    <n v="12"/>
    <n v="38"/>
    <n v="456"/>
  </r>
  <r>
    <s v="19.05.2022"/>
    <n v="2006"/>
    <s v="Fatih Güldüren"/>
    <s v="Aslı Balcı"/>
    <n v="1246"/>
    <x v="1"/>
    <n v="20"/>
    <n v="25"/>
    <n v="500"/>
  </r>
  <r>
    <s v="19.05.2022"/>
    <n v="2006"/>
    <s v="Fatih Güldüren"/>
    <s v="Aslı Balcı"/>
    <n v="1725"/>
    <x v="2"/>
    <n v="37"/>
    <n v="41"/>
    <n v="1517"/>
  </r>
  <r>
    <s v="19.05.2022"/>
    <n v="2007"/>
    <s v="Zeynep Yetişen"/>
    <s v="Engin Demir"/>
    <n v="1465"/>
    <x v="0"/>
    <n v="12"/>
    <n v="42"/>
    <n v="504"/>
  </r>
  <r>
    <s v="19.05.2022"/>
    <n v="2007"/>
    <s v="Zeynep Yetişen"/>
    <s v="Engin Demir"/>
    <n v="1246"/>
    <x v="1"/>
    <n v="20"/>
    <n v="1"/>
    <n v="20"/>
  </r>
  <r>
    <s v="19.05.2022"/>
    <n v="2007"/>
    <s v="Zeynep Yetişen"/>
    <s v="Engin Demir"/>
    <n v="1725"/>
    <x v="2"/>
    <n v="37"/>
    <n v="4"/>
    <n v="148"/>
  </r>
  <r>
    <s v="19.05.2022"/>
    <n v="2008"/>
    <s v="Ediz Ekin"/>
    <s v="Kadri Işık"/>
    <n v="1465"/>
    <x v="0"/>
    <n v="12"/>
    <n v="3"/>
    <n v="36"/>
  </r>
  <r>
    <s v="19.05.2022"/>
    <n v="2008"/>
    <s v="Ediz Ekin"/>
    <s v="Kadri Işık"/>
    <n v="1246"/>
    <x v="1"/>
    <n v="20"/>
    <n v="1"/>
    <n v="20"/>
  </r>
  <r>
    <s v="19.05.2022"/>
    <n v="2008"/>
    <s v="Ediz Ekin"/>
    <s v="Kadri Işık"/>
    <n v="1725"/>
    <x v="2"/>
    <n v="37"/>
    <n v="30"/>
    <n v="1110"/>
  </r>
  <r>
    <s v="19.05.2022"/>
    <n v="2009"/>
    <s v="Alper Çakır"/>
    <s v="Kadri Işık"/>
    <n v="1465"/>
    <x v="0"/>
    <n v="12"/>
    <n v="11"/>
    <n v="132"/>
  </r>
  <r>
    <s v="19.05.2022"/>
    <n v="2009"/>
    <s v="Alper Çakır"/>
    <s v="Kadri Işık"/>
    <n v="1246"/>
    <x v="1"/>
    <n v="20"/>
    <n v="48"/>
    <n v="960"/>
  </r>
  <r>
    <s v="19.05.2022"/>
    <n v="2009"/>
    <s v="Alper Çakır"/>
    <s v="Kadri Işık"/>
    <n v="1725"/>
    <x v="2"/>
    <n v="37"/>
    <n v="28"/>
    <n v="1036"/>
  </r>
  <r>
    <s v="19.05.2022"/>
    <n v="2010"/>
    <s v="Enver Toprak"/>
    <s v="Aslı Balcı"/>
    <n v="1465"/>
    <x v="0"/>
    <n v="12"/>
    <n v="25"/>
    <n v="300"/>
  </r>
  <r>
    <s v="19.05.2022"/>
    <n v="2010"/>
    <s v="Enver Toprak"/>
    <s v="Aslı Balcı"/>
    <n v="1246"/>
    <x v="1"/>
    <n v="20"/>
    <n v="27"/>
    <n v="540"/>
  </r>
  <r>
    <s v="19.05.2022"/>
    <n v="2010"/>
    <s v="Enver Toprak"/>
    <s v="Aslı Balcı"/>
    <n v="1725"/>
    <x v="2"/>
    <n v="37"/>
    <n v="12"/>
    <n v="444"/>
  </r>
  <r>
    <s v="19.05.2022"/>
    <n v="2011"/>
    <s v="Recep Koca"/>
    <s v="Aslı Balcı"/>
    <n v="1465"/>
    <x v="0"/>
    <n v="12"/>
    <n v="23"/>
    <n v="276"/>
  </r>
  <r>
    <s v="19.05.2022"/>
    <n v="2011"/>
    <s v="Recep Koca"/>
    <s v="Aslı Balcı"/>
    <n v="1246"/>
    <x v="1"/>
    <n v="20"/>
    <n v="4"/>
    <n v="80"/>
  </r>
  <r>
    <s v="19.05.2022"/>
    <n v="2011"/>
    <s v="Recep Koca"/>
    <s v="Aslı Balcı"/>
    <n v="1725"/>
    <x v="2"/>
    <n v="37"/>
    <n v="0"/>
    <n v="0"/>
  </r>
  <r>
    <s v="19.05.2022"/>
    <n v="2012"/>
    <s v="Murat Maden"/>
    <s v="Kadri Işık"/>
    <n v="1465"/>
    <x v="0"/>
    <n v="12"/>
    <n v="20"/>
    <n v="240"/>
  </r>
  <r>
    <s v="19.05.2022"/>
    <n v="2012"/>
    <s v="Murat Maden"/>
    <s v="Kadri Işık"/>
    <n v="1246"/>
    <x v="1"/>
    <n v="20"/>
    <n v="20"/>
    <n v="400"/>
  </r>
  <r>
    <s v="19.05.2022"/>
    <n v="2012"/>
    <s v="Murat Maden"/>
    <s v="Kadri Işık"/>
    <n v="1725"/>
    <x v="2"/>
    <n v="37"/>
    <n v="20"/>
    <n v="740"/>
  </r>
  <r>
    <s v="19.05.2022"/>
    <n v="2013"/>
    <s v="Zeki Civan"/>
    <s v="Engin Demir"/>
    <n v="1465"/>
    <x v="0"/>
    <n v="12"/>
    <n v="8"/>
    <n v="96"/>
  </r>
  <r>
    <s v="19.05.2022"/>
    <n v="2013"/>
    <s v="Zeki Civan"/>
    <s v="Engin Demir"/>
    <n v="1246"/>
    <x v="1"/>
    <n v="20"/>
    <n v="41"/>
    <n v="820"/>
  </r>
  <r>
    <s v="19.05.2022"/>
    <n v="2013"/>
    <s v="Zeki Civan"/>
    <s v="Engin Demir"/>
    <n v="1725"/>
    <x v="2"/>
    <n v="37"/>
    <n v="26"/>
    <n v="962"/>
  </r>
  <r>
    <s v="19.05.2022"/>
    <n v="2014"/>
    <s v="Gülsüm Çalışkan"/>
    <s v="Engin Demir"/>
    <n v="1465"/>
    <x v="0"/>
    <n v="12"/>
    <n v="11"/>
    <n v="132"/>
  </r>
  <r>
    <s v="19.05.2022"/>
    <n v="2014"/>
    <s v="Gülsüm Çalışkan"/>
    <s v="Engin Demir"/>
    <n v="1246"/>
    <x v="1"/>
    <n v="20"/>
    <n v="13"/>
    <n v="260"/>
  </r>
  <r>
    <s v="19.05.2022"/>
    <n v="2014"/>
    <s v="Gülsüm Çalışkan"/>
    <s v="Engin Demir"/>
    <n v="1725"/>
    <x v="2"/>
    <n v="37"/>
    <n v="26"/>
    <n v="962"/>
  </r>
  <r>
    <s v="20.05.2022"/>
    <n v="1998"/>
    <s v="Ayşe Zengin"/>
    <s v="Kadri Işık"/>
    <n v="1465"/>
    <x v="0"/>
    <n v="12"/>
    <n v="34"/>
    <n v="408"/>
  </r>
  <r>
    <s v="20.05.2022"/>
    <n v="1998"/>
    <s v="Ayşe Zengin"/>
    <s v="Kadri Işık"/>
    <n v="1246"/>
    <x v="1"/>
    <n v="20"/>
    <n v="33"/>
    <n v="660"/>
  </r>
  <r>
    <s v="20.05.2022"/>
    <n v="1998"/>
    <s v="Ayşe Zengin"/>
    <s v="Kadri Işık"/>
    <n v="1725"/>
    <x v="2"/>
    <n v="37"/>
    <n v="42"/>
    <n v="1554"/>
  </r>
  <r>
    <s v="20.05.2022"/>
    <n v="1999"/>
    <s v="Gamze Öztürk"/>
    <s v="Engin Demir"/>
    <n v="1465"/>
    <x v="0"/>
    <n v="12"/>
    <n v="47"/>
    <n v="564"/>
  </r>
  <r>
    <s v="20.05.2022"/>
    <n v="1999"/>
    <s v="Gamze Öztürk"/>
    <s v="Engin Demir"/>
    <n v="1246"/>
    <x v="1"/>
    <n v="20"/>
    <n v="3"/>
    <n v="60"/>
  </r>
  <r>
    <s v="20.05.2022"/>
    <n v="1999"/>
    <s v="Gamze Öztürk"/>
    <s v="Engin Demir"/>
    <n v="1725"/>
    <x v="2"/>
    <n v="37"/>
    <n v="40"/>
    <n v="1480"/>
  </r>
  <r>
    <s v="20.05.2022"/>
    <n v="2000"/>
    <s v="Melike Kara"/>
    <s v="Aslı Balcı"/>
    <n v="1465"/>
    <x v="0"/>
    <n v="12"/>
    <n v="22"/>
    <n v="264"/>
  </r>
  <r>
    <s v="20.05.2022"/>
    <n v="2000"/>
    <s v="Melike Kara"/>
    <s v="Aslı Balcı"/>
    <n v="1246"/>
    <x v="1"/>
    <n v="20"/>
    <n v="36"/>
    <n v="720"/>
  </r>
  <r>
    <s v="20.05.2022"/>
    <n v="2000"/>
    <s v="Melike Kara"/>
    <s v="Aslı Balcı"/>
    <n v="1725"/>
    <x v="2"/>
    <n v="37"/>
    <n v="11"/>
    <n v="407"/>
  </r>
  <r>
    <s v="20.05.2022"/>
    <n v="2001"/>
    <s v="Emine Şimşek"/>
    <s v="Aslı Balcı"/>
    <n v="1465"/>
    <x v="0"/>
    <n v="12"/>
    <n v="38"/>
    <n v="456"/>
  </r>
  <r>
    <s v="20.05.2022"/>
    <n v="2001"/>
    <s v="Emine Şimşek"/>
    <s v="Aslı Balcı"/>
    <n v="1246"/>
    <x v="1"/>
    <n v="20"/>
    <n v="42"/>
    <n v="840"/>
  </r>
  <r>
    <s v="20.05.2022"/>
    <n v="2001"/>
    <s v="Emine Şimşek"/>
    <s v="Aslı Balcı"/>
    <n v="1725"/>
    <x v="2"/>
    <n v="37"/>
    <n v="9"/>
    <n v="333"/>
  </r>
  <r>
    <s v="20.05.2022"/>
    <n v="2002"/>
    <s v="Adem Yıldız"/>
    <s v="Engin Demir"/>
    <n v="1465"/>
    <x v="0"/>
    <n v="12"/>
    <n v="4"/>
    <n v="48"/>
  </r>
  <r>
    <s v="20.05.2022"/>
    <n v="2002"/>
    <s v="Adem Yıldız"/>
    <s v="Engin Demir"/>
    <n v="1246"/>
    <x v="1"/>
    <n v="20"/>
    <n v="21"/>
    <n v="420"/>
  </r>
  <r>
    <s v="20.05.2022"/>
    <n v="2002"/>
    <s v="Adem Yıldız"/>
    <s v="Engin Demir"/>
    <n v="1725"/>
    <x v="2"/>
    <n v="37"/>
    <n v="22"/>
    <n v="814"/>
  </r>
  <r>
    <s v="20.05.2022"/>
    <n v="2003"/>
    <s v="İbrahim Vural"/>
    <s v="Engin Demir"/>
    <n v="1465"/>
    <x v="0"/>
    <n v="12"/>
    <n v="54"/>
    <n v="648"/>
  </r>
  <r>
    <s v="20.05.2022"/>
    <n v="2003"/>
    <s v="İbrahim Vural"/>
    <s v="Engin Demir"/>
    <n v="1246"/>
    <x v="1"/>
    <n v="20"/>
    <n v="32"/>
    <n v="640"/>
  </r>
  <r>
    <s v="20.05.2022"/>
    <n v="2003"/>
    <s v="İbrahim Vural"/>
    <s v="Engin Demir"/>
    <n v="1725"/>
    <x v="2"/>
    <n v="37"/>
    <n v="24"/>
    <n v="888"/>
  </r>
  <r>
    <s v="20.05.2022"/>
    <n v="2004"/>
    <s v="Mehmet Sodacı"/>
    <s v="Engin Demir"/>
    <n v="1465"/>
    <x v="0"/>
    <n v="12"/>
    <n v="22"/>
    <n v="264"/>
  </r>
  <r>
    <s v="20.05.2022"/>
    <n v="2004"/>
    <s v="Mehmet Sodacı"/>
    <s v="Engin Demir"/>
    <n v="1246"/>
    <x v="1"/>
    <n v="20"/>
    <n v="7"/>
    <n v="140"/>
  </r>
  <r>
    <s v="20.05.2022"/>
    <n v="2004"/>
    <s v="Mehmet Sodacı"/>
    <s v="Engin Demir"/>
    <n v="1725"/>
    <x v="2"/>
    <n v="37"/>
    <n v="25"/>
    <n v="925"/>
  </r>
  <r>
    <s v="20.05.2022"/>
    <n v="2005"/>
    <s v="Mete Özak"/>
    <s v="Kadri Işık"/>
    <n v="1465"/>
    <x v="0"/>
    <n v="12"/>
    <n v="10"/>
    <n v="120"/>
  </r>
  <r>
    <s v="20.05.2022"/>
    <n v="2005"/>
    <s v="Mete Özak"/>
    <s v="Kadri Işık"/>
    <n v="1246"/>
    <x v="1"/>
    <n v="20"/>
    <n v="17"/>
    <n v="340"/>
  </r>
  <r>
    <s v="20.05.2022"/>
    <n v="2005"/>
    <s v="Mete Özak"/>
    <s v="Kadri Işık"/>
    <n v="1725"/>
    <x v="2"/>
    <n v="37"/>
    <n v="30"/>
    <n v="1110"/>
  </r>
  <r>
    <s v="20.05.2022"/>
    <n v="2006"/>
    <s v="Fatih Güldüren"/>
    <s v="Aslı Balcı"/>
    <n v="1465"/>
    <x v="0"/>
    <n v="12"/>
    <n v="41"/>
    <n v="492"/>
  </r>
  <r>
    <s v="20.05.2022"/>
    <n v="2006"/>
    <s v="Fatih Güldüren"/>
    <s v="Aslı Balcı"/>
    <n v="1246"/>
    <x v="1"/>
    <n v="20"/>
    <n v="35"/>
    <n v="700"/>
  </r>
  <r>
    <s v="20.05.2022"/>
    <n v="2006"/>
    <s v="Fatih Güldüren"/>
    <s v="Aslı Balcı"/>
    <n v="1725"/>
    <x v="2"/>
    <n v="37"/>
    <n v="2"/>
    <n v="74"/>
  </r>
  <r>
    <s v="20.05.2022"/>
    <n v="2007"/>
    <s v="Zeynep Yetişen"/>
    <s v="Engin Demir"/>
    <n v="1465"/>
    <x v="0"/>
    <n v="12"/>
    <n v="7"/>
    <n v="84"/>
  </r>
  <r>
    <s v="20.05.2022"/>
    <n v="2007"/>
    <s v="Zeynep Yetişen"/>
    <s v="Engin Demir"/>
    <n v="1246"/>
    <x v="1"/>
    <n v="20"/>
    <n v="5"/>
    <n v="100"/>
  </r>
  <r>
    <s v="20.05.2022"/>
    <n v="2007"/>
    <s v="Zeynep Yetişen"/>
    <s v="Engin Demir"/>
    <n v="1725"/>
    <x v="2"/>
    <n v="37"/>
    <n v="5"/>
    <n v="185"/>
  </r>
  <r>
    <s v="20.05.2022"/>
    <n v="2008"/>
    <s v="Ediz Ekin"/>
    <s v="Kadri Işık"/>
    <n v="1465"/>
    <x v="0"/>
    <n v="12"/>
    <n v="8"/>
    <n v="96"/>
  </r>
  <r>
    <s v="20.05.2022"/>
    <n v="2008"/>
    <s v="Ediz Ekin"/>
    <s v="Kadri Işık"/>
    <n v="1246"/>
    <x v="1"/>
    <n v="20"/>
    <n v="20"/>
    <n v="400"/>
  </r>
  <r>
    <s v="20.05.2022"/>
    <n v="2008"/>
    <s v="Ediz Ekin"/>
    <s v="Kadri Işık"/>
    <n v="1725"/>
    <x v="2"/>
    <n v="37"/>
    <n v="9"/>
    <n v="333"/>
  </r>
  <r>
    <s v="20.05.2022"/>
    <n v="2009"/>
    <s v="Alper Çakır"/>
    <s v="Kadri Işık"/>
    <n v="1465"/>
    <x v="0"/>
    <n v="12"/>
    <n v="2"/>
    <n v="24"/>
  </r>
  <r>
    <s v="20.05.2022"/>
    <n v="2009"/>
    <s v="Alper Çakır"/>
    <s v="Kadri Işık"/>
    <n v="1246"/>
    <x v="1"/>
    <n v="20"/>
    <n v="42"/>
    <n v="840"/>
  </r>
  <r>
    <s v="20.05.2022"/>
    <n v="2009"/>
    <s v="Alper Çakır"/>
    <s v="Kadri Işık"/>
    <n v="1725"/>
    <x v="2"/>
    <n v="37"/>
    <n v="21"/>
    <n v="777"/>
  </r>
  <r>
    <s v="20.05.2022"/>
    <n v="2010"/>
    <s v="Enver Toprak"/>
    <s v="Aslı Balcı"/>
    <n v="1465"/>
    <x v="0"/>
    <n v="12"/>
    <n v="9"/>
    <n v="108"/>
  </r>
  <r>
    <s v="20.05.2022"/>
    <n v="2010"/>
    <s v="Enver Toprak"/>
    <s v="Aslı Balcı"/>
    <n v="1246"/>
    <x v="1"/>
    <n v="20"/>
    <n v="23"/>
    <n v="460"/>
  </r>
  <r>
    <s v="20.05.2022"/>
    <n v="2010"/>
    <s v="Enver Toprak"/>
    <s v="Aslı Balcı"/>
    <n v="1725"/>
    <x v="2"/>
    <n v="37"/>
    <n v="25"/>
    <n v="925"/>
  </r>
  <r>
    <s v="20.05.2022"/>
    <n v="2011"/>
    <s v="Recep Koca"/>
    <s v="Aslı Balcı"/>
    <n v="1465"/>
    <x v="0"/>
    <n v="12"/>
    <n v="40"/>
    <n v="480"/>
  </r>
  <r>
    <s v="20.05.2022"/>
    <n v="2011"/>
    <s v="Recep Koca"/>
    <s v="Aslı Balcı"/>
    <n v="1246"/>
    <x v="1"/>
    <n v="20"/>
    <n v="42"/>
    <n v="840"/>
  </r>
  <r>
    <s v="20.05.2022"/>
    <n v="2011"/>
    <s v="Recep Koca"/>
    <s v="Aslı Balcı"/>
    <n v="1725"/>
    <x v="2"/>
    <n v="37"/>
    <n v="43"/>
    <n v="1591"/>
  </r>
  <r>
    <s v="20.05.2022"/>
    <n v="2012"/>
    <s v="Murat Maden"/>
    <s v="Kadri Işık"/>
    <n v="1465"/>
    <x v="0"/>
    <n v="12"/>
    <n v="20"/>
    <n v="240"/>
  </r>
  <r>
    <s v="20.05.2022"/>
    <n v="2012"/>
    <s v="Murat Maden"/>
    <s v="Kadri Işık"/>
    <n v="1246"/>
    <x v="1"/>
    <n v="20"/>
    <n v="20"/>
    <n v="400"/>
  </r>
  <r>
    <s v="20.05.2022"/>
    <n v="2012"/>
    <s v="Murat Maden"/>
    <s v="Kadri Işık"/>
    <n v="1725"/>
    <x v="2"/>
    <n v="37"/>
    <n v="20"/>
    <n v="740"/>
  </r>
  <r>
    <s v="20.05.2022"/>
    <n v="2013"/>
    <s v="Zeki Civan"/>
    <s v="Engin Demir"/>
    <n v="1465"/>
    <x v="0"/>
    <n v="12"/>
    <n v="20"/>
    <n v="240"/>
  </r>
  <r>
    <s v="20.05.2022"/>
    <n v="2013"/>
    <s v="Zeki Civan"/>
    <s v="Engin Demir"/>
    <n v="1246"/>
    <x v="1"/>
    <n v="20"/>
    <n v="12"/>
    <n v="240"/>
  </r>
  <r>
    <s v="20.05.2022"/>
    <n v="2013"/>
    <s v="Zeki Civan"/>
    <s v="Engin Demir"/>
    <n v="1725"/>
    <x v="2"/>
    <n v="37"/>
    <n v="43"/>
    <n v="1591"/>
  </r>
  <r>
    <s v="20.05.2022"/>
    <n v="2014"/>
    <s v="Gülsüm Çalışkan"/>
    <s v="Engin Demir"/>
    <n v="1465"/>
    <x v="0"/>
    <n v="12"/>
    <n v="32"/>
    <n v="384"/>
  </r>
  <r>
    <s v="20.05.2022"/>
    <n v="2014"/>
    <s v="Gülsüm Çalışkan"/>
    <s v="Engin Demir"/>
    <n v="1246"/>
    <x v="1"/>
    <n v="20"/>
    <n v="26"/>
    <n v="520"/>
  </r>
  <r>
    <s v="20.05.2022"/>
    <n v="2014"/>
    <s v="Gülsüm Çalışkan"/>
    <s v="Engin Demir"/>
    <n v="1725"/>
    <x v="2"/>
    <n v="37"/>
    <n v="11"/>
    <n v="407"/>
  </r>
  <r>
    <s v="21.05.2022"/>
    <n v="1998"/>
    <s v="Ayşe Zengin"/>
    <s v="Kadri Işık"/>
    <n v="1465"/>
    <x v="0"/>
    <n v="12"/>
    <n v="49"/>
    <n v="588"/>
  </r>
  <r>
    <s v="21.05.2022"/>
    <n v="1998"/>
    <s v="Ayşe Zengin"/>
    <s v="Kadri Işık"/>
    <n v="1246"/>
    <x v="1"/>
    <n v="20"/>
    <n v="32"/>
    <n v="640"/>
  </r>
  <r>
    <s v="21.05.2022"/>
    <n v="1998"/>
    <s v="Ayşe Zengin"/>
    <s v="Kadri Işık"/>
    <n v="1725"/>
    <x v="2"/>
    <n v="37"/>
    <n v="27"/>
    <n v="999"/>
  </r>
  <r>
    <s v="21.05.2022"/>
    <n v="1999"/>
    <s v="Gamze Öztürk"/>
    <s v="Engin Demir"/>
    <n v="1465"/>
    <x v="0"/>
    <n v="12"/>
    <n v="29"/>
    <n v="348"/>
  </r>
  <r>
    <s v="21.05.2022"/>
    <n v="1999"/>
    <s v="Gamze Öztürk"/>
    <s v="Engin Demir"/>
    <n v="1246"/>
    <x v="1"/>
    <n v="20"/>
    <n v="19"/>
    <n v="380"/>
  </r>
  <r>
    <s v="21.05.2022"/>
    <n v="1999"/>
    <s v="Gamze Öztürk"/>
    <s v="Engin Demir"/>
    <n v="1725"/>
    <x v="2"/>
    <n v="37"/>
    <n v="39"/>
    <n v="1443"/>
  </r>
  <r>
    <s v="21.05.2022"/>
    <n v="2000"/>
    <s v="Melike Kara"/>
    <s v="Aslı Balcı"/>
    <n v="1465"/>
    <x v="0"/>
    <n v="12"/>
    <n v="9"/>
    <n v="108"/>
  </r>
  <r>
    <s v="21.05.2022"/>
    <n v="2000"/>
    <s v="Melike Kara"/>
    <s v="Aslı Balcı"/>
    <n v="1246"/>
    <x v="1"/>
    <n v="20"/>
    <n v="34"/>
    <n v="680"/>
  </r>
  <r>
    <s v="21.05.2022"/>
    <n v="2000"/>
    <s v="Melike Kara"/>
    <s v="Aslı Balcı"/>
    <n v="1725"/>
    <x v="2"/>
    <n v="37"/>
    <n v="43"/>
    <n v="1591"/>
  </r>
  <r>
    <s v="21.05.2022"/>
    <n v="2001"/>
    <s v="Emine Şimşek"/>
    <s v="Aslı Balcı"/>
    <n v="1465"/>
    <x v="0"/>
    <n v="12"/>
    <n v="19"/>
    <n v="228"/>
  </r>
  <r>
    <s v="21.05.2022"/>
    <n v="2001"/>
    <s v="Emine Şimşek"/>
    <s v="Aslı Balcı"/>
    <n v="1246"/>
    <x v="1"/>
    <n v="20"/>
    <n v="22"/>
    <n v="440"/>
  </r>
  <r>
    <s v="21.05.2022"/>
    <n v="2001"/>
    <s v="Emine Şimşek"/>
    <s v="Aslı Balcı"/>
    <n v="1725"/>
    <x v="2"/>
    <n v="37"/>
    <n v="36"/>
    <n v="1332"/>
  </r>
  <r>
    <s v="21.05.2022"/>
    <n v="2002"/>
    <s v="Adem Yıldız"/>
    <s v="Engin Demir"/>
    <n v="1465"/>
    <x v="0"/>
    <n v="12"/>
    <n v="6"/>
    <n v="72"/>
  </r>
  <r>
    <s v="21.05.2022"/>
    <n v="2002"/>
    <s v="Adem Yıldız"/>
    <s v="Engin Demir"/>
    <n v="1246"/>
    <x v="1"/>
    <n v="20"/>
    <n v="15"/>
    <n v="300"/>
  </r>
  <r>
    <s v="21.05.2022"/>
    <n v="2002"/>
    <s v="Adem Yıldız"/>
    <s v="Engin Demir"/>
    <n v="1725"/>
    <x v="2"/>
    <n v="37"/>
    <n v="19"/>
    <n v="703"/>
  </r>
  <r>
    <s v="21.05.2022"/>
    <n v="2003"/>
    <s v="İbrahim Vural"/>
    <s v="Engin Demir"/>
    <n v="1465"/>
    <x v="0"/>
    <n v="12"/>
    <n v="85"/>
    <n v="1020"/>
  </r>
  <r>
    <s v="21.05.2022"/>
    <n v="2003"/>
    <s v="İbrahim Vural"/>
    <s v="Engin Demir"/>
    <n v="1246"/>
    <x v="1"/>
    <n v="20"/>
    <n v="10"/>
    <n v="200"/>
  </r>
  <r>
    <s v="21.05.2022"/>
    <n v="2003"/>
    <s v="İbrahim Vural"/>
    <s v="Engin Demir"/>
    <n v="1725"/>
    <x v="2"/>
    <n v="37"/>
    <n v="2"/>
    <n v="74"/>
  </r>
  <r>
    <s v="21.05.2022"/>
    <n v="2004"/>
    <s v="Mehmet Sodacı"/>
    <s v="Engin Demir"/>
    <n v="1465"/>
    <x v="0"/>
    <n v="12"/>
    <n v="13"/>
    <n v="156"/>
  </r>
  <r>
    <s v="21.05.2022"/>
    <n v="2004"/>
    <s v="Mehmet Sodacı"/>
    <s v="Engin Demir"/>
    <n v="1246"/>
    <x v="1"/>
    <n v="20"/>
    <n v="4"/>
    <n v="80"/>
  </r>
  <r>
    <s v="21.05.2022"/>
    <n v="2004"/>
    <s v="Mehmet Sodacı"/>
    <s v="Engin Demir"/>
    <n v="1725"/>
    <x v="2"/>
    <n v="37"/>
    <n v="20"/>
    <n v="740"/>
  </r>
  <r>
    <s v="21.05.2022"/>
    <n v="2005"/>
    <s v="Mete Özak"/>
    <s v="Kadri Işık"/>
    <n v="1465"/>
    <x v="0"/>
    <n v="12"/>
    <n v="29"/>
    <n v="348"/>
  </r>
  <r>
    <s v="21.05.2022"/>
    <n v="2005"/>
    <s v="Mete Özak"/>
    <s v="Kadri Işık"/>
    <n v="1246"/>
    <x v="1"/>
    <n v="20"/>
    <n v="40"/>
    <n v="800"/>
  </r>
  <r>
    <s v="21.05.2022"/>
    <n v="2005"/>
    <s v="Mete Özak"/>
    <s v="Kadri Işık"/>
    <n v="1725"/>
    <x v="2"/>
    <n v="37"/>
    <n v="5"/>
    <n v="185"/>
  </r>
  <r>
    <s v="21.05.2022"/>
    <n v="2006"/>
    <s v="Fatih Güldüren"/>
    <s v="Aslı Balcı"/>
    <n v="1465"/>
    <x v="0"/>
    <n v="12"/>
    <n v="46"/>
    <n v="552"/>
  </r>
  <r>
    <s v="21.05.2022"/>
    <n v="2006"/>
    <s v="Fatih Güldüren"/>
    <s v="Aslı Balcı"/>
    <n v="1246"/>
    <x v="1"/>
    <n v="20"/>
    <n v="25"/>
    <n v="500"/>
  </r>
  <r>
    <s v="21.05.2022"/>
    <n v="2006"/>
    <s v="Fatih Güldüren"/>
    <s v="Aslı Balcı"/>
    <n v="1725"/>
    <x v="2"/>
    <n v="37"/>
    <n v="9"/>
    <n v="333"/>
  </r>
  <r>
    <s v="21.05.2022"/>
    <n v="2007"/>
    <s v="Zeynep Yetişen"/>
    <s v="Engin Demir"/>
    <n v="1465"/>
    <x v="0"/>
    <n v="12"/>
    <n v="3"/>
    <n v="36"/>
  </r>
  <r>
    <s v="21.05.2022"/>
    <n v="2007"/>
    <s v="Zeynep Yetişen"/>
    <s v="Engin Demir"/>
    <n v="1246"/>
    <x v="1"/>
    <n v="20"/>
    <n v="5"/>
    <n v="100"/>
  </r>
  <r>
    <s v="21.05.2022"/>
    <n v="2007"/>
    <s v="Zeynep Yetişen"/>
    <s v="Engin Demir"/>
    <n v="1725"/>
    <x v="2"/>
    <n v="37"/>
    <n v="7"/>
    <n v="259"/>
  </r>
  <r>
    <s v="21.05.2022"/>
    <n v="2008"/>
    <s v="Ediz Ekin"/>
    <s v="Kadri Işık"/>
    <n v="1465"/>
    <x v="0"/>
    <n v="12"/>
    <n v="49"/>
    <n v="588"/>
  </r>
  <r>
    <s v="21.05.2022"/>
    <n v="2008"/>
    <s v="Ediz Ekin"/>
    <s v="Kadri Işık"/>
    <n v="1246"/>
    <x v="1"/>
    <n v="20"/>
    <n v="29"/>
    <n v="580"/>
  </r>
  <r>
    <s v="21.05.2022"/>
    <n v="2008"/>
    <s v="Ediz Ekin"/>
    <s v="Kadri Işık"/>
    <n v="1725"/>
    <x v="2"/>
    <n v="37"/>
    <n v="31"/>
    <n v="1147"/>
  </r>
  <r>
    <s v="21.05.2022"/>
    <n v="2009"/>
    <s v="Alper Çakır"/>
    <s v="Kadri Işık"/>
    <n v="1465"/>
    <x v="0"/>
    <n v="12"/>
    <n v="33"/>
    <n v="396"/>
  </r>
  <r>
    <s v="21.05.2022"/>
    <n v="2009"/>
    <s v="Alper Çakır"/>
    <s v="Kadri Işık"/>
    <n v="1246"/>
    <x v="1"/>
    <n v="20"/>
    <n v="36"/>
    <n v="720"/>
  </r>
  <r>
    <s v="21.05.2022"/>
    <n v="2009"/>
    <s v="Alper Çakır"/>
    <s v="Kadri Işık"/>
    <n v="1725"/>
    <x v="2"/>
    <n v="37"/>
    <n v="41"/>
    <n v="1517"/>
  </r>
  <r>
    <s v="21.05.2022"/>
    <n v="2010"/>
    <s v="Enver Toprak"/>
    <s v="Aslı Balcı"/>
    <n v="1465"/>
    <x v="0"/>
    <n v="12"/>
    <n v="33"/>
    <n v="396"/>
  </r>
  <r>
    <s v="21.05.2022"/>
    <n v="2010"/>
    <s v="Enver Toprak"/>
    <s v="Aslı Balcı"/>
    <n v="1246"/>
    <x v="1"/>
    <n v="20"/>
    <n v="21"/>
    <n v="420"/>
  </r>
  <r>
    <s v="21.05.2022"/>
    <n v="2010"/>
    <s v="Enver Toprak"/>
    <s v="Aslı Balcı"/>
    <n v="1725"/>
    <x v="2"/>
    <n v="37"/>
    <n v="13"/>
    <n v="481"/>
  </r>
  <r>
    <s v="21.05.2022"/>
    <n v="2011"/>
    <s v="Recep Koca"/>
    <s v="Aslı Balcı"/>
    <n v="1465"/>
    <x v="0"/>
    <n v="12"/>
    <n v="21"/>
    <n v="252"/>
  </r>
  <r>
    <s v="21.05.2022"/>
    <n v="2011"/>
    <s v="Recep Koca"/>
    <s v="Aslı Balcı"/>
    <n v="1246"/>
    <x v="1"/>
    <n v="20"/>
    <n v="41"/>
    <n v="820"/>
  </r>
  <r>
    <s v="21.05.2022"/>
    <n v="2011"/>
    <s v="Recep Koca"/>
    <s v="Aslı Balcı"/>
    <n v="1725"/>
    <x v="2"/>
    <n v="37"/>
    <n v="38"/>
    <n v="1406"/>
  </r>
  <r>
    <s v="21.05.2022"/>
    <n v="2012"/>
    <s v="Murat Maden"/>
    <s v="Kadri Işık"/>
    <n v="1465"/>
    <x v="0"/>
    <n v="12"/>
    <n v="20"/>
    <n v="240"/>
  </r>
  <r>
    <s v="21.05.2022"/>
    <n v="2012"/>
    <s v="Murat Maden"/>
    <s v="Kadri Işık"/>
    <n v="1246"/>
    <x v="1"/>
    <n v="20"/>
    <n v="20"/>
    <n v="400"/>
  </r>
  <r>
    <s v="21.05.2022"/>
    <n v="2012"/>
    <s v="Murat Maden"/>
    <s v="Kadri Işık"/>
    <n v="1725"/>
    <x v="2"/>
    <n v="37"/>
    <n v="20"/>
    <n v="740"/>
  </r>
  <r>
    <s v="21.05.2022"/>
    <n v="2013"/>
    <s v="Zeki Civan"/>
    <s v="Engin Demir"/>
    <n v="1465"/>
    <x v="0"/>
    <n v="12"/>
    <n v="0"/>
    <n v="0"/>
  </r>
  <r>
    <s v="21.05.2022"/>
    <n v="2013"/>
    <s v="Zeki Civan"/>
    <s v="Engin Demir"/>
    <n v="1246"/>
    <x v="1"/>
    <n v="20"/>
    <n v="15"/>
    <n v="300"/>
  </r>
  <r>
    <s v="21.05.2022"/>
    <n v="2013"/>
    <s v="Zeki Civan"/>
    <s v="Engin Demir"/>
    <n v="1725"/>
    <x v="2"/>
    <n v="37"/>
    <n v="40"/>
    <n v="1480"/>
  </r>
  <r>
    <s v="21.05.2022"/>
    <n v="2014"/>
    <s v="Gülsüm Çalışkan"/>
    <s v="Engin Demir"/>
    <n v="1465"/>
    <x v="0"/>
    <n v="12"/>
    <n v="28"/>
    <n v="336"/>
  </r>
  <r>
    <s v="21.05.2022"/>
    <n v="2014"/>
    <s v="Gülsüm Çalışkan"/>
    <s v="Engin Demir"/>
    <n v="1246"/>
    <x v="1"/>
    <n v="20"/>
    <n v="7"/>
    <n v="140"/>
  </r>
  <r>
    <s v="21.05.2022"/>
    <n v="2014"/>
    <s v="Gülsüm Çalışkan"/>
    <s v="Engin Demir"/>
    <n v="1725"/>
    <x v="2"/>
    <n v="37"/>
    <n v="11"/>
    <n v="40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7">
  <r>
    <s v="16.05.2022"/>
    <x v="0"/>
    <s v="Ayşe Zengin"/>
    <x v="0"/>
    <n v="1465"/>
    <x v="0"/>
    <n v="12"/>
    <n v="2"/>
    <n v="24"/>
  </r>
  <r>
    <s v="16.05.2022"/>
    <x v="0"/>
    <s v="Ayşe Zengin"/>
    <x v="0"/>
    <n v="1246"/>
    <x v="1"/>
    <n v="20"/>
    <n v="48"/>
    <n v="960"/>
  </r>
  <r>
    <s v="16.05.2022"/>
    <x v="0"/>
    <s v="Ayşe Zengin"/>
    <x v="0"/>
    <n v="1725"/>
    <x v="2"/>
    <n v="37"/>
    <n v="40"/>
    <n v="1480"/>
  </r>
  <r>
    <s v="16.05.2022"/>
    <x v="1"/>
    <s v="Gamze Öztürk"/>
    <x v="1"/>
    <n v="1465"/>
    <x v="0"/>
    <n v="12"/>
    <n v="13"/>
    <n v="156"/>
  </r>
  <r>
    <s v="16.05.2022"/>
    <x v="1"/>
    <s v="Gamze Öztürk"/>
    <x v="1"/>
    <n v="1246"/>
    <x v="1"/>
    <n v="20"/>
    <n v="35"/>
    <n v="700"/>
  </r>
  <r>
    <s v="16.05.2022"/>
    <x v="1"/>
    <s v="Gamze Öztürk"/>
    <x v="1"/>
    <n v="1725"/>
    <x v="2"/>
    <n v="37"/>
    <n v="30"/>
    <n v="1110"/>
  </r>
  <r>
    <s v="16.05.2022"/>
    <x v="2"/>
    <s v="Melike Kara"/>
    <x v="2"/>
    <n v="1465"/>
    <x v="0"/>
    <n v="12"/>
    <n v="38"/>
    <n v="456"/>
  </r>
  <r>
    <s v="16.05.2022"/>
    <x v="2"/>
    <s v="Melike Kara"/>
    <x v="2"/>
    <n v="1246"/>
    <x v="1"/>
    <n v="20"/>
    <n v="28"/>
    <n v="560"/>
  </r>
  <r>
    <s v="16.05.2022"/>
    <x v="2"/>
    <s v="Melike Kara"/>
    <x v="2"/>
    <n v="1725"/>
    <x v="2"/>
    <n v="37"/>
    <n v="49"/>
    <n v="1813"/>
  </r>
  <r>
    <s v="16.05.2022"/>
    <x v="3"/>
    <s v="Emine Şimşek"/>
    <x v="2"/>
    <n v="1465"/>
    <x v="0"/>
    <n v="12"/>
    <n v="7"/>
    <n v="84"/>
  </r>
  <r>
    <s v="16.05.2022"/>
    <x v="3"/>
    <s v="Emine Şimşek"/>
    <x v="2"/>
    <n v="1246"/>
    <x v="1"/>
    <n v="20"/>
    <n v="10"/>
    <n v="200"/>
  </r>
  <r>
    <s v="16.05.2022"/>
    <x v="3"/>
    <s v="Emine Şimşek"/>
    <x v="2"/>
    <n v="1725"/>
    <x v="2"/>
    <n v="37"/>
    <n v="12"/>
    <n v="444"/>
  </r>
  <r>
    <s v="16.05.2022"/>
    <x v="4"/>
    <s v="Adem Yıldız"/>
    <x v="1"/>
    <n v="1465"/>
    <x v="0"/>
    <n v="12"/>
    <n v="31"/>
    <n v="372"/>
  </r>
  <r>
    <s v="16.05.2022"/>
    <x v="4"/>
    <s v="Adem Yıldız"/>
    <x v="1"/>
    <n v="1246"/>
    <x v="1"/>
    <n v="20"/>
    <n v="3"/>
    <n v="60"/>
  </r>
  <r>
    <s v="16.05.2022"/>
    <x v="4"/>
    <s v="Adem Yıldız"/>
    <x v="1"/>
    <n v="1725"/>
    <x v="2"/>
    <n v="37"/>
    <n v="10"/>
    <n v="370"/>
  </r>
  <r>
    <s v="16.05.2022"/>
    <x v="5"/>
    <s v="İbrahim Vural"/>
    <x v="1"/>
    <n v="1465"/>
    <x v="0"/>
    <n v="12"/>
    <n v="15"/>
    <n v="180"/>
  </r>
  <r>
    <s v="16.05.2022"/>
    <x v="5"/>
    <s v="İbrahim Vural"/>
    <x v="1"/>
    <n v="1246"/>
    <x v="1"/>
    <n v="20"/>
    <n v="10"/>
    <n v="200"/>
  </r>
  <r>
    <s v="16.05.2022"/>
    <x v="5"/>
    <s v="İbrahim Vural"/>
    <x v="1"/>
    <n v="1725"/>
    <x v="2"/>
    <n v="37"/>
    <n v="5"/>
    <n v="185"/>
  </r>
  <r>
    <s v="16.05.2022"/>
    <x v="6"/>
    <s v="Mehmet Sodacı"/>
    <x v="1"/>
    <n v="1465"/>
    <x v="0"/>
    <n v="12"/>
    <n v="0"/>
    <n v="0"/>
  </r>
  <r>
    <s v="16.05.2022"/>
    <x v="6"/>
    <s v="Mehmet Sodacı"/>
    <x v="1"/>
    <n v="1246"/>
    <x v="1"/>
    <n v="20"/>
    <n v="41"/>
    <n v="820"/>
  </r>
  <r>
    <s v="16.05.2022"/>
    <x v="6"/>
    <s v="Mehmet Sodacı"/>
    <x v="1"/>
    <n v="1725"/>
    <x v="2"/>
    <n v="37"/>
    <n v="37"/>
    <n v="1369"/>
  </r>
  <r>
    <s v="16.05.2022"/>
    <x v="7"/>
    <s v="Mete Özak"/>
    <x v="0"/>
    <n v="1465"/>
    <x v="0"/>
    <n v="12"/>
    <n v="25"/>
    <n v="300"/>
  </r>
  <r>
    <s v="16.05.2022"/>
    <x v="7"/>
    <s v="Mete Özak"/>
    <x v="0"/>
    <n v="1246"/>
    <x v="1"/>
    <n v="20"/>
    <n v="29"/>
    <n v="580"/>
  </r>
  <r>
    <s v="16.05.2022"/>
    <x v="7"/>
    <s v="Mete Özak"/>
    <x v="0"/>
    <n v="1725"/>
    <x v="2"/>
    <n v="37"/>
    <n v="21"/>
    <n v="777"/>
  </r>
  <r>
    <s v="16.05.2022"/>
    <x v="8"/>
    <s v="Fatih Güldüren"/>
    <x v="2"/>
    <n v="1465"/>
    <x v="0"/>
    <n v="12"/>
    <n v="43"/>
    <n v="516"/>
  </r>
  <r>
    <s v="16.05.2022"/>
    <x v="8"/>
    <s v="Fatih Güldüren"/>
    <x v="2"/>
    <n v="1246"/>
    <x v="1"/>
    <n v="20"/>
    <n v="49"/>
    <n v="980"/>
  </r>
  <r>
    <s v="16.05.2022"/>
    <x v="8"/>
    <s v="Fatih Güldüren"/>
    <x v="2"/>
    <n v="1725"/>
    <x v="2"/>
    <n v="37"/>
    <n v="0"/>
    <n v="0"/>
  </r>
  <r>
    <s v="16.05.2022"/>
    <x v="9"/>
    <s v="Zeynep Yetişen"/>
    <x v="1"/>
    <n v="1465"/>
    <x v="0"/>
    <n v="12"/>
    <n v="5"/>
    <n v="60"/>
  </r>
  <r>
    <s v="16.05.2022"/>
    <x v="9"/>
    <s v="Zeynep Yetişen"/>
    <x v="1"/>
    <n v="1246"/>
    <x v="1"/>
    <n v="20"/>
    <n v="15"/>
    <n v="300"/>
  </r>
  <r>
    <s v="16.05.2022"/>
    <x v="9"/>
    <s v="Zeynep Yetişen"/>
    <x v="1"/>
    <n v="1725"/>
    <x v="2"/>
    <n v="37"/>
    <n v="20"/>
    <n v="740"/>
  </r>
  <r>
    <s v="16.05.2022"/>
    <x v="10"/>
    <s v="Ediz Ekin"/>
    <x v="0"/>
    <n v="1465"/>
    <x v="0"/>
    <n v="12"/>
    <n v="39"/>
    <n v="468"/>
  </r>
  <r>
    <s v="16.05.2022"/>
    <x v="10"/>
    <s v="Ediz Ekin"/>
    <x v="0"/>
    <n v="1246"/>
    <x v="1"/>
    <n v="20"/>
    <n v="41"/>
    <n v="820"/>
  </r>
  <r>
    <s v="16.05.2022"/>
    <x v="10"/>
    <s v="Ediz Ekin"/>
    <x v="0"/>
    <n v="1725"/>
    <x v="2"/>
    <n v="37"/>
    <n v="36"/>
    <n v="1332"/>
  </r>
  <r>
    <s v="16.05.2022"/>
    <x v="11"/>
    <s v="Alper Çakır"/>
    <x v="0"/>
    <n v="1465"/>
    <x v="0"/>
    <n v="12"/>
    <n v="12"/>
    <n v="144"/>
  </r>
  <r>
    <s v="16.05.2022"/>
    <x v="11"/>
    <s v="Alper Çakır"/>
    <x v="0"/>
    <n v="1246"/>
    <x v="1"/>
    <n v="20"/>
    <n v="20"/>
    <n v="400"/>
  </r>
  <r>
    <s v="16.05.2022"/>
    <x v="11"/>
    <s v="Alper Çakır"/>
    <x v="0"/>
    <n v="1725"/>
    <x v="2"/>
    <n v="37"/>
    <n v="42"/>
    <n v="1554"/>
  </r>
  <r>
    <s v="16.05.2022"/>
    <x v="12"/>
    <s v="Enver Toprak"/>
    <x v="2"/>
    <n v="1465"/>
    <x v="0"/>
    <n v="12"/>
    <n v="40"/>
    <n v="480"/>
  </r>
  <r>
    <s v="16.05.2022"/>
    <x v="12"/>
    <s v="Enver Toprak"/>
    <x v="2"/>
    <n v="1246"/>
    <x v="1"/>
    <n v="20"/>
    <n v="16"/>
    <n v="320"/>
  </r>
  <r>
    <s v="16.05.2022"/>
    <x v="12"/>
    <s v="Enver Toprak"/>
    <x v="2"/>
    <n v="1725"/>
    <x v="2"/>
    <n v="37"/>
    <n v="25"/>
    <n v="925"/>
  </r>
  <r>
    <s v="16.05.2022"/>
    <x v="13"/>
    <s v="Recep Koca"/>
    <x v="2"/>
    <n v="1465"/>
    <x v="0"/>
    <n v="12"/>
    <n v="5"/>
    <n v="60"/>
  </r>
  <r>
    <s v="16.05.2022"/>
    <x v="13"/>
    <s v="Recep Koca"/>
    <x v="2"/>
    <n v="1246"/>
    <x v="1"/>
    <n v="20"/>
    <n v="30"/>
    <n v="600"/>
  </r>
  <r>
    <s v="16.05.2022"/>
    <x v="13"/>
    <s v="Recep Koca"/>
    <x v="2"/>
    <n v="1725"/>
    <x v="2"/>
    <n v="37"/>
    <n v="38"/>
    <n v="1406"/>
  </r>
  <r>
    <s v="16.05.2022"/>
    <x v="14"/>
    <s v="Murat Maden"/>
    <x v="0"/>
    <n v="1465"/>
    <x v="0"/>
    <n v="12"/>
    <n v="20"/>
    <n v="240"/>
  </r>
  <r>
    <s v="16.05.2022"/>
    <x v="14"/>
    <s v="Murat Maden"/>
    <x v="0"/>
    <n v="1246"/>
    <x v="1"/>
    <n v="20"/>
    <n v="20"/>
    <n v="400"/>
  </r>
  <r>
    <s v="16.05.2022"/>
    <x v="14"/>
    <s v="Murat Maden"/>
    <x v="0"/>
    <n v="1725"/>
    <x v="2"/>
    <n v="37"/>
    <n v="20"/>
    <n v="740"/>
  </r>
  <r>
    <s v="16.05.2022"/>
    <x v="15"/>
    <s v="Zeki Civan"/>
    <x v="1"/>
    <n v="1465"/>
    <x v="0"/>
    <n v="12"/>
    <n v="35"/>
    <n v="420"/>
  </r>
  <r>
    <s v="16.05.2022"/>
    <x v="15"/>
    <s v="Zeki Civan"/>
    <x v="1"/>
    <n v="1246"/>
    <x v="1"/>
    <n v="20"/>
    <n v="28"/>
    <n v="560"/>
  </r>
  <r>
    <s v="16.05.2022"/>
    <x v="15"/>
    <s v="Zeki Civan"/>
    <x v="1"/>
    <n v="1725"/>
    <x v="2"/>
    <n v="37"/>
    <n v="29"/>
    <n v="1073"/>
  </r>
  <r>
    <s v="16.05.2022"/>
    <x v="16"/>
    <s v="Gülsüm Çalışkan"/>
    <x v="1"/>
    <n v="1465"/>
    <x v="0"/>
    <n v="12"/>
    <n v="12"/>
    <n v="144"/>
  </r>
  <r>
    <s v="16.05.2022"/>
    <x v="16"/>
    <s v="Gülsüm Çalışkan"/>
    <x v="1"/>
    <n v="1246"/>
    <x v="1"/>
    <n v="20"/>
    <n v="39"/>
    <n v="780"/>
  </r>
  <r>
    <s v="16.05.2022"/>
    <x v="16"/>
    <s v="Gülsüm Çalışkan"/>
    <x v="1"/>
    <n v="1725"/>
    <x v="2"/>
    <n v="37"/>
    <n v="22"/>
    <n v="814"/>
  </r>
  <r>
    <s v="17.05.2022"/>
    <x v="0"/>
    <s v="Ayşe Zengin"/>
    <x v="0"/>
    <n v="1465"/>
    <x v="0"/>
    <n v="12"/>
    <n v="50"/>
    <n v="600"/>
  </r>
  <r>
    <s v="17.05.2022"/>
    <x v="0"/>
    <s v="Ayşe Zengin"/>
    <x v="0"/>
    <n v="1246"/>
    <x v="1"/>
    <n v="20"/>
    <n v="36"/>
    <n v="720"/>
  </r>
  <r>
    <s v="17.05.2022"/>
    <x v="0"/>
    <s v="Ayşe Zengin"/>
    <x v="0"/>
    <n v="1725"/>
    <x v="2"/>
    <n v="37"/>
    <n v="4"/>
    <n v="148"/>
  </r>
  <r>
    <s v="17.05.2022"/>
    <x v="1"/>
    <s v="Gamze Öztürk"/>
    <x v="1"/>
    <n v="1465"/>
    <x v="0"/>
    <n v="12"/>
    <n v="18"/>
    <n v="216"/>
  </r>
  <r>
    <s v="17.05.2022"/>
    <x v="1"/>
    <s v="Gamze Öztürk"/>
    <x v="1"/>
    <n v="1246"/>
    <x v="1"/>
    <n v="20"/>
    <n v="36"/>
    <n v="720"/>
  </r>
  <r>
    <s v="17.05.2022"/>
    <x v="1"/>
    <s v="Gamze Öztürk"/>
    <x v="1"/>
    <n v="1725"/>
    <x v="2"/>
    <n v="37"/>
    <n v="38"/>
    <n v="1406"/>
  </r>
  <r>
    <s v="17.05.2022"/>
    <x v="2"/>
    <s v="Melike Kara"/>
    <x v="2"/>
    <n v="1465"/>
    <x v="0"/>
    <n v="12"/>
    <n v="31"/>
    <n v="372"/>
  </r>
  <r>
    <s v="17.05.2022"/>
    <x v="2"/>
    <s v="Melike Kara"/>
    <x v="2"/>
    <n v="1246"/>
    <x v="1"/>
    <n v="20"/>
    <n v="44"/>
    <n v="880"/>
  </r>
  <r>
    <s v="17.05.2022"/>
    <x v="2"/>
    <s v="Melike Kara"/>
    <x v="2"/>
    <n v="1725"/>
    <x v="2"/>
    <n v="37"/>
    <n v="21"/>
    <n v="777"/>
  </r>
  <r>
    <s v="17.05.2022"/>
    <x v="3"/>
    <s v="Emine Şimşek"/>
    <x v="2"/>
    <n v="1465"/>
    <x v="0"/>
    <n v="12"/>
    <n v="21"/>
    <n v="252"/>
  </r>
  <r>
    <s v="17.05.2022"/>
    <x v="3"/>
    <s v="Emine Şimşek"/>
    <x v="2"/>
    <n v="1246"/>
    <x v="1"/>
    <n v="20"/>
    <n v="12"/>
    <n v="240"/>
  </r>
  <r>
    <s v="17.05.2022"/>
    <x v="3"/>
    <s v="Emine Şimşek"/>
    <x v="2"/>
    <n v="1725"/>
    <x v="2"/>
    <n v="37"/>
    <n v="15"/>
    <n v="555"/>
  </r>
  <r>
    <s v="17.05.2022"/>
    <x v="4"/>
    <s v="Adem Yıldız"/>
    <x v="1"/>
    <n v="1465"/>
    <x v="0"/>
    <n v="12"/>
    <n v="16"/>
    <n v="192"/>
  </r>
  <r>
    <s v="17.05.2022"/>
    <x v="4"/>
    <s v="Adem Yıldız"/>
    <x v="1"/>
    <n v="1246"/>
    <x v="1"/>
    <n v="20"/>
    <n v="4"/>
    <n v="80"/>
  </r>
  <r>
    <s v="17.05.2022"/>
    <x v="4"/>
    <s v="Adem Yıldız"/>
    <x v="1"/>
    <n v="1725"/>
    <x v="2"/>
    <n v="37"/>
    <n v="31"/>
    <n v="1147"/>
  </r>
  <r>
    <s v="17.05.2022"/>
    <x v="5"/>
    <s v="İbrahim Vural"/>
    <x v="1"/>
    <n v="1465"/>
    <x v="0"/>
    <n v="12"/>
    <n v="7"/>
    <n v="84"/>
  </r>
  <r>
    <s v="17.05.2022"/>
    <x v="5"/>
    <s v="İbrahim Vural"/>
    <x v="1"/>
    <n v="1246"/>
    <x v="1"/>
    <n v="20"/>
    <n v="8"/>
    <n v="160"/>
  </r>
  <r>
    <s v="17.05.2022"/>
    <x v="5"/>
    <s v="İbrahim Vural"/>
    <x v="1"/>
    <n v="1725"/>
    <x v="2"/>
    <n v="37"/>
    <n v="9"/>
    <n v="333"/>
  </r>
  <r>
    <s v="17.05.2022"/>
    <x v="6"/>
    <s v="Mehmet Sodacı"/>
    <x v="1"/>
    <n v="1465"/>
    <x v="0"/>
    <n v="12"/>
    <n v="26"/>
    <n v="312"/>
  </r>
  <r>
    <s v="17.05.2022"/>
    <x v="6"/>
    <s v="Mehmet Sodacı"/>
    <x v="1"/>
    <n v="1246"/>
    <x v="1"/>
    <n v="20"/>
    <n v="31"/>
    <n v="620"/>
  </r>
  <r>
    <s v="17.05.2022"/>
    <x v="6"/>
    <s v="Mehmet Sodacı"/>
    <x v="1"/>
    <n v="1725"/>
    <x v="2"/>
    <n v="37"/>
    <n v="49"/>
    <n v="1813"/>
  </r>
  <r>
    <s v="17.05.2022"/>
    <x v="7"/>
    <s v="Mete Özak"/>
    <x v="0"/>
    <n v="1465"/>
    <x v="0"/>
    <n v="12"/>
    <n v="41"/>
    <n v="492"/>
  </r>
  <r>
    <s v="17.05.2022"/>
    <x v="7"/>
    <s v="Mete Özak"/>
    <x v="0"/>
    <n v="1246"/>
    <x v="1"/>
    <n v="20"/>
    <n v="16"/>
    <n v="320"/>
  </r>
  <r>
    <s v="17.05.2022"/>
    <x v="7"/>
    <s v="Mete Özak"/>
    <x v="0"/>
    <n v="1725"/>
    <x v="2"/>
    <n v="37"/>
    <n v="0"/>
    <n v="0"/>
  </r>
  <r>
    <s v="17.05.2022"/>
    <x v="8"/>
    <s v="Fatih Güldüren"/>
    <x v="2"/>
    <n v="1465"/>
    <x v="0"/>
    <n v="12"/>
    <n v="19"/>
    <n v="228"/>
  </r>
  <r>
    <s v="17.05.2022"/>
    <x v="8"/>
    <s v="Fatih Güldüren"/>
    <x v="2"/>
    <n v="1246"/>
    <x v="1"/>
    <n v="20"/>
    <n v="37"/>
    <n v="740"/>
  </r>
  <r>
    <s v="17.05.2022"/>
    <x v="8"/>
    <s v="Fatih Güldüren"/>
    <x v="2"/>
    <n v="1725"/>
    <x v="2"/>
    <n v="37"/>
    <n v="24"/>
    <n v="888"/>
  </r>
  <r>
    <s v="17.05.2022"/>
    <x v="9"/>
    <s v="Zeynep Yetişen"/>
    <x v="1"/>
    <n v="1465"/>
    <x v="0"/>
    <n v="12"/>
    <n v="15"/>
    <n v="180"/>
  </r>
  <r>
    <s v="17.05.2022"/>
    <x v="9"/>
    <s v="Zeynep Yetişen"/>
    <x v="1"/>
    <n v="1246"/>
    <x v="1"/>
    <n v="20"/>
    <n v="15"/>
    <n v="300"/>
  </r>
  <r>
    <s v="17.05.2022"/>
    <x v="9"/>
    <s v="Zeynep Yetişen"/>
    <x v="1"/>
    <n v="1725"/>
    <x v="2"/>
    <n v="37"/>
    <n v="10"/>
    <n v="370"/>
  </r>
  <r>
    <s v="17.05.2022"/>
    <x v="10"/>
    <s v="Ediz Ekin"/>
    <x v="0"/>
    <n v="1465"/>
    <x v="0"/>
    <n v="12"/>
    <n v="26"/>
    <n v="312"/>
  </r>
  <r>
    <s v="17.05.2022"/>
    <x v="10"/>
    <s v="Ediz Ekin"/>
    <x v="0"/>
    <n v="1246"/>
    <x v="1"/>
    <n v="20"/>
    <n v="26"/>
    <n v="520"/>
  </r>
  <r>
    <s v="17.05.2022"/>
    <x v="10"/>
    <s v="Ediz Ekin"/>
    <x v="0"/>
    <n v="1725"/>
    <x v="2"/>
    <n v="37"/>
    <n v="46"/>
    <n v="1702"/>
  </r>
  <r>
    <s v="17.05.2022"/>
    <x v="11"/>
    <s v="Alper Çakır"/>
    <x v="0"/>
    <n v="1465"/>
    <x v="0"/>
    <n v="12"/>
    <n v="20"/>
    <n v="240"/>
  </r>
  <r>
    <s v="17.05.2022"/>
    <x v="11"/>
    <s v="Alper Çakır"/>
    <x v="0"/>
    <n v="1246"/>
    <x v="1"/>
    <n v="20"/>
    <n v="13"/>
    <n v="260"/>
  </r>
  <r>
    <s v="17.05.2022"/>
    <x v="11"/>
    <s v="Alper Çakır"/>
    <x v="0"/>
    <n v="1725"/>
    <x v="2"/>
    <n v="37"/>
    <n v="18"/>
    <n v="666"/>
  </r>
  <r>
    <s v="17.05.2022"/>
    <x v="12"/>
    <s v="Enver Toprak"/>
    <x v="2"/>
    <n v="1465"/>
    <x v="0"/>
    <n v="12"/>
    <n v="49"/>
    <n v="588"/>
  </r>
  <r>
    <s v="17.05.2022"/>
    <x v="12"/>
    <s v="Enver Toprak"/>
    <x v="2"/>
    <n v="1246"/>
    <x v="1"/>
    <n v="20"/>
    <n v="22"/>
    <n v="440"/>
  </r>
  <r>
    <s v="17.05.2022"/>
    <x v="12"/>
    <s v="Enver Toprak"/>
    <x v="2"/>
    <n v="1725"/>
    <x v="2"/>
    <n v="37"/>
    <n v="13"/>
    <n v="481"/>
  </r>
  <r>
    <s v="17.05.2022"/>
    <x v="13"/>
    <s v="Recep Koca"/>
    <x v="2"/>
    <n v="1465"/>
    <x v="0"/>
    <n v="12"/>
    <n v="23"/>
    <n v="276"/>
  </r>
  <r>
    <s v="17.05.2022"/>
    <x v="13"/>
    <s v="Recep Koca"/>
    <x v="2"/>
    <n v="1246"/>
    <x v="1"/>
    <n v="20"/>
    <n v="13"/>
    <n v="260"/>
  </r>
  <r>
    <s v="17.05.2022"/>
    <x v="13"/>
    <s v="Recep Koca"/>
    <x v="2"/>
    <n v="1725"/>
    <x v="2"/>
    <n v="37"/>
    <n v="30"/>
    <n v="1110"/>
  </r>
  <r>
    <s v="17.05.2022"/>
    <x v="14"/>
    <s v="Murat Maden"/>
    <x v="0"/>
    <n v="1465"/>
    <x v="0"/>
    <n v="12"/>
    <n v="20"/>
    <n v="240"/>
  </r>
  <r>
    <s v="17.05.2022"/>
    <x v="14"/>
    <s v="Murat Maden"/>
    <x v="0"/>
    <n v="1246"/>
    <x v="1"/>
    <n v="20"/>
    <n v="20"/>
    <n v="400"/>
  </r>
  <r>
    <s v="17.05.2022"/>
    <x v="14"/>
    <s v="Murat Maden"/>
    <x v="0"/>
    <n v="1725"/>
    <x v="2"/>
    <n v="37"/>
    <n v="20"/>
    <n v="740"/>
  </r>
  <r>
    <s v="17.05.2022"/>
    <x v="15"/>
    <s v="Zeki Civan"/>
    <x v="1"/>
    <n v="1465"/>
    <x v="0"/>
    <n v="12"/>
    <n v="42"/>
    <n v="504"/>
  </r>
  <r>
    <s v="17.05.2022"/>
    <x v="15"/>
    <s v="Zeki Civan"/>
    <x v="1"/>
    <n v="1246"/>
    <x v="1"/>
    <n v="20"/>
    <n v="18"/>
    <n v="360"/>
  </r>
  <r>
    <s v="17.05.2022"/>
    <x v="15"/>
    <s v="Zeki Civan"/>
    <x v="1"/>
    <n v="1725"/>
    <x v="2"/>
    <n v="37"/>
    <n v="2"/>
    <n v="74"/>
  </r>
  <r>
    <s v="17.05.2022"/>
    <x v="16"/>
    <s v="Gülsüm Çalışkan"/>
    <x v="1"/>
    <n v="1465"/>
    <x v="0"/>
    <n v="12"/>
    <n v="41"/>
    <n v="492"/>
  </r>
  <r>
    <s v="17.05.2022"/>
    <x v="16"/>
    <s v="Gülsüm Çalışkan"/>
    <x v="1"/>
    <n v="1246"/>
    <x v="1"/>
    <n v="20"/>
    <n v="28"/>
    <n v="560"/>
  </r>
  <r>
    <s v="17.05.2022"/>
    <x v="16"/>
    <s v="Gülsüm Çalışkan"/>
    <x v="1"/>
    <n v="1725"/>
    <x v="2"/>
    <n v="37"/>
    <n v="39"/>
    <n v="1443"/>
  </r>
  <r>
    <s v="18.05.2022"/>
    <x v="0"/>
    <s v="Ayşe Zengin"/>
    <x v="0"/>
    <n v="1465"/>
    <x v="0"/>
    <n v="12"/>
    <n v="37"/>
    <n v="444"/>
  </r>
  <r>
    <s v="18.05.2022"/>
    <x v="0"/>
    <s v="Ayşe Zengin"/>
    <x v="0"/>
    <n v="1246"/>
    <x v="1"/>
    <n v="20"/>
    <n v="25"/>
    <n v="500"/>
  </r>
  <r>
    <s v="18.05.2022"/>
    <x v="0"/>
    <s v="Ayşe Zengin"/>
    <x v="0"/>
    <n v="1725"/>
    <x v="2"/>
    <n v="37"/>
    <n v="8"/>
    <n v="296"/>
  </r>
  <r>
    <s v="18.05.2022"/>
    <x v="1"/>
    <s v="Gamze Öztürk"/>
    <x v="1"/>
    <n v="1465"/>
    <x v="0"/>
    <n v="12"/>
    <n v="7"/>
    <n v="84"/>
  </r>
  <r>
    <s v="18.05.2022"/>
    <x v="1"/>
    <s v="Gamze Öztürk"/>
    <x v="1"/>
    <n v="1246"/>
    <x v="1"/>
    <n v="20"/>
    <n v="32"/>
    <n v="640"/>
  </r>
  <r>
    <s v="18.05.2022"/>
    <x v="1"/>
    <s v="Gamze Öztürk"/>
    <x v="1"/>
    <n v="1725"/>
    <x v="2"/>
    <n v="37"/>
    <n v="47"/>
    <n v="1739"/>
  </r>
  <r>
    <s v="18.05.2022"/>
    <x v="2"/>
    <s v="Melike Kara"/>
    <x v="2"/>
    <n v="1465"/>
    <x v="0"/>
    <n v="12"/>
    <n v="1"/>
    <n v="12"/>
  </r>
  <r>
    <s v="18.05.2022"/>
    <x v="2"/>
    <s v="Melike Kara"/>
    <x v="2"/>
    <n v="1246"/>
    <x v="1"/>
    <n v="20"/>
    <n v="32"/>
    <n v="640"/>
  </r>
  <r>
    <s v="18.05.2022"/>
    <x v="2"/>
    <s v="Melike Kara"/>
    <x v="2"/>
    <n v="1725"/>
    <x v="2"/>
    <n v="37"/>
    <n v="16"/>
    <n v="592"/>
  </r>
  <r>
    <s v="18.05.2022"/>
    <x v="3"/>
    <s v="Emine Şimşek"/>
    <x v="2"/>
    <n v="1465"/>
    <x v="0"/>
    <n v="12"/>
    <n v="29"/>
    <n v="348"/>
  </r>
  <r>
    <s v="18.05.2022"/>
    <x v="3"/>
    <s v="Emine Şimşek"/>
    <x v="2"/>
    <n v="1246"/>
    <x v="1"/>
    <n v="20"/>
    <n v="17"/>
    <n v="340"/>
  </r>
  <r>
    <s v="18.05.2022"/>
    <x v="3"/>
    <s v="Emine Şimşek"/>
    <x v="2"/>
    <n v="1725"/>
    <x v="2"/>
    <n v="37"/>
    <n v="3"/>
    <n v="111"/>
  </r>
  <r>
    <s v="18.05.2022"/>
    <x v="4"/>
    <s v="Adem Yıldız"/>
    <x v="1"/>
    <n v="1465"/>
    <x v="0"/>
    <n v="12"/>
    <n v="28"/>
    <n v="336"/>
  </r>
  <r>
    <s v="18.05.2022"/>
    <x v="4"/>
    <s v="Adem Yıldız"/>
    <x v="1"/>
    <n v="1246"/>
    <x v="1"/>
    <n v="20"/>
    <n v="7"/>
    <n v="140"/>
  </r>
  <r>
    <s v="18.05.2022"/>
    <x v="4"/>
    <s v="Adem Yıldız"/>
    <x v="1"/>
    <n v="1725"/>
    <x v="2"/>
    <n v="37"/>
    <n v="27"/>
    <n v="999"/>
  </r>
  <r>
    <s v="18.05.2022"/>
    <x v="5"/>
    <s v="İbrahim Vural"/>
    <x v="1"/>
    <n v="1465"/>
    <x v="0"/>
    <n v="12"/>
    <n v="4"/>
    <n v="48"/>
  </r>
  <r>
    <s v="18.05.2022"/>
    <x v="5"/>
    <s v="İbrahim Vural"/>
    <x v="1"/>
    <n v="1246"/>
    <x v="1"/>
    <n v="20"/>
    <n v="41"/>
    <n v="820"/>
  </r>
  <r>
    <s v="18.05.2022"/>
    <x v="5"/>
    <s v="İbrahim Vural"/>
    <x v="1"/>
    <n v="1725"/>
    <x v="2"/>
    <n v="37"/>
    <n v="4"/>
    <n v="148"/>
  </r>
  <r>
    <s v="18.05.2022"/>
    <x v="6"/>
    <s v="Mehmet Sodacı"/>
    <x v="1"/>
    <n v="1465"/>
    <x v="0"/>
    <n v="12"/>
    <n v="6"/>
    <n v="72"/>
  </r>
  <r>
    <s v="18.05.2022"/>
    <x v="6"/>
    <s v="Mehmet Sodacı"/>
    <x v="1"/>
    <n v="1246"/>
    <x v="1"/>
    <n v="20"/>
    <n v="42"/>
    <n v="840"/>
  </r>
  <r>
    <s v="18.05.2022"/>
    <x v="6"/>
    <s v="Mehmet Sodacı"/>
    <x v="1"/>
    <n v="1725"/>
    <x v="2"/>
    <n v="37"/>
    <n v="25"/>
    <n v="925"/>
  </r>
  <r>
    <s v="18.05.2022"/>
    <x v="7"/>
    <s v="Mete Özak"/>
    <x v="0"/>
    <n v="1465"/>
    <x v="0"/>
    <n v="12"/>
    <n v="39"/>
    <n v="468"/>
  </r>
  <r>
    <s v="18.05.2022"/>
    <x v="7"/>
    <s v="Mete Özak"/>
    <x v="0"/>
    <n v="1246"/>
    <x v="1"/>
    <n v="20"/>
    <n v="20"/>
    <n v="400"/>
  </r>
  <r>
    <s v="18.05.2022"/>
    <x v="7"/>
    <s v="Mete Özak"/>
    <x v="0"/>
    <n v="1725"/>
    <x v="2"/>
    <n v="37"/>
    <n v="5"/>
    <n v="185"/>
  </r>
  <r>
    <s v="18.05.2022"/>
    <x v="8"/>
    <s v="Fatih Güldüren"/>
    <x v="2"/>
    <n v="1465"/>
    <x v="0"/>
    <n v="12"/>
    <n v="8"/>
    <n v="96"/>
  </r>
  <r>
    <s v="18.05.2022"/>
    <x v="8"/>
    <s v="Fatih Güldüren"/>
    <x v="2"/>
    <n v="1246"/>
    <x v="1"/>
    <n v="20"/>
    <n v="42"/>
    <n v="840"/>
  </r>
  <r>
    <s v="18.05.2022"/>
    <x v="8"/>
    <s v="Fatih Güldüren"/>
    <x v="2"/>
    <n v="1725"/>
    <x v="2"/>
    <n v="37"/>
    <n v="6"/>
    <n v="222"/>
  </r>
  <r>
    <s v="18.05.2022"/>
    <x v="9"/>
    <s v="Zeynep Yetişen"/>
    <x v="1"/>
    <n v="1465"/>
    <x v="0"/>
    <n v="12"/>
    <n v="7"/>
    <n v="84"/>
  </r>
  <r>
    <s v="18.05.2022"/>
    <x v="9"/>
    <s v="Zeynep Yetişen"/>
    <x v="1"/>
    <n v="1246"/>
    <x v="1"/>
    <n v="20"/>
    <n v="8"/>
    <n v="160"/>
  </r>
  <r>
    <s v="18.05.2022"/>
    <x v="9"/>
    <s v="Zeynep Yetişen"/>
    <x v="1"/>
    <n v="1725"/>
    <x v="2"/>
    <n v="37"/>
    <n v="9"/>
    <n v="333"/>
  </r>
  <r>
    <s v="18.05.2022"/>
    <x v="10"/>
    <s v="Ediz Ekin"/>
    <x v="0"/>
    <n v="1465"/>
    <x v="0"/>
    <n v="12"/>
    <n v="22"/>
    <n v="264"/>
  </r>
  <r>
    <s v="18.05.2022"/>
    <x v="10"/>
    <s v="Ediz Ekin"/>
    <x v="0"/>
    <n v="1246"/>
    <x v="1"/>
    <n v="20"/>
    <n v="11"/>
    <n v="220"/>
  </r>
  <r>
    <s v="18.05.2022"/>
    <x v="10"/>
    <s v="Ediz Ekin"/>
    <x v="0"/>
    <n v="1725"/>
    <x v="2"/>
    <n v="37"/>
    <n v="47"/>
    <n v="1739"/>
  </r>
  <r>
    <s v="18.05.2022"/>
    <x v="11"/>
    <s v="Alper Çakır"/>
    <x v="0"/>
    <n v="1465"/>
    <x v="0"/>
    <n v="12"/>
    <n v="9"/>
    <n v="108"/>
  </r>
  <r>
    <s v="18.05.2022"/>
    <x v="11"/>
    <s v="Alper Çakır"/>
    <x v="0"/>
    <n v="1246"/>
    <x v="1"/>
    <n v="20"/>
    <n v="4"/>
    <n v="80"/>
  </r>
  <r>
    <s v="18.05.2022"/>
    <x v="11"/>
    <s v="Alper Çakır"/>
    <x v="0"/>
    <n v="1725"/>
    <x v="2"/>
    <n v="37"/>
    <n v="25"/>
    <n v="925"/>
  </r>
  <r>
    <s v="18.05.2022"/>
    <x v="12"/>
    <s v="Enver Toprak"/>
    <x v="2"/>
    <n v="1465"/>
    <x v="0"/>
    <n v="12"/>
    <n v="0"/>
    <n v="0"/>
  </r>
  <r>
    <s v="18.05.2022"/>
    <x v="12"/>
    <s v="Enver Toprak"/>
    <x v="2"/>
    <n v="1246"/>
    <x v="1"/>
    <n v="20"/>
    <n v="24"/>
    <n v="480"/>
  </r>
  <r>
    <s v="18.05.2022"/>
    <x v="12"/>
    <s v="Enver Toprak"/>
    <x v="2"/>
    <n v="1725"/>
    <x v="2"/>
    <n v="37"/>
    <n v="30"/>
    <n v="1110"/>
  </r>
  <r>
    <s v="18.05.2022"/>
    <x v="13"/>
    <s v="Recep Koca"/>
    <x v="2"/>
    <n v="1465"/>
    <x v="0"/>
    <n v="12"/>
    <n v="11"/>
    <n v="132"/>
  </r>
  <r>
    <s v="18.05.2022"/>
    <x v="13"/>
    <s v="Recep Koca"/>
    <x v="2"/>
    <n v="1246"/>
    <x v="1"/>
    <n v="20"/>
    <n v="16"/>
    <n v="320"/>
  </r>
  <r>
    <s v="18.05.2022"/>
    <x v="13"/>
    <s v="Recep Koca"/>
    <x v="2"/>
    <n v="1725"/>
    <x v="2"/>
    <n v="37"/>
    <n v="14"/>
    <n v="518"/>
  </r>
  <r>
    <s v="18.05.2022"/>
    <x v="14"/>
    <s v="Murat Maden"/>
    <x v="0"/>
    <n v="1465"/>
    <x v="0"/>
    <n v="12"/>
    <n v="20"/>
    <n v="240"/>
  </r>
  <r>
    <s v="18.05.2022"/>
    <x v="14"/>
    <s v="Murat Maden"/>
    <x v="0"/>
    <n v="1246"/>
    <x v="1"/>
    <n v="20"/>
    <n v="20"/>
    <n v="400"/>
  </r>
  <r>
    <s v="18.05.2022"/>
    <x v="14"/>
    <s v="Murat Maden"/>
    <x v="0"/>
    <n v="1725"/>
    <x v="2"/>
    <n v="37"/>
    <n v="20"/>
    <n v="740"/>
  </r>
  <r>
    <s v="18.05.2022"/>
    <x v="15"/>
    <s v="Zeki Civan"/>
    <x v="1"/>
    <n v="1465"/>
    <x v="0"/>
    <n v="12"/>
    <n v="13"/>
    <n v="156"/>
  </r>
  <r>
    <s v="18.05.2022"/>
    <x v="15"/>
    <s v="Zeki Civan"/>
    <x v="1"/>
    <n v="1246"/>
    <x v="1"/>
    <n v="20"/>
    <n v="5"/>
    <n v="100"/>
  </r>
  <r>
    <s v="18.05.2022"/>
    <x v="15"/>
    <s v="Zeki Civan"/>
    <x v="1"/>
    <n v="1725"/>
    <x v="2"/>
    <n v="37"/>
    <n v="32"/>
    <n v="1184"/>
  </r>
  <r>
    <s v="18.05.2022"/>
    <x v="16"/>
    <s v="Gülsüm Çalışkan"/>
    <x v="1"/>
    <n v="1465"/>
    <x v="0"/>
    <n v="12"/>
    <n v="50"/>
    <n v="600"/>
  </r>
  <r>
    <s v="18.05.2022"/>
    <x v="16"/>
    <s v="Gülsüm Çalışkan"/>
    <x v="1"/>
    <n v="1246"/>
    <x v="1"/>
    <n v="20"/>
    <n v="21"/>
    <n v="420"/>
  </r>
  <r>
    <s v="18.05.2022"/>
    <x v="16"/>
    <s v="Gülsüm Çalışkan"/>
    <x v="1"/>
    <n v="1725"/>
    <x v="2"/>
    <n v="37"/>
    <n v="42"/>
    <n v="1554"/>
  </r>
  <r>
    <s v="19.05.2022"/>
    <x v="0"/>
    <s v="Ayşe Zengin"/>
    <x v="0"/>
    <n v="1465"/>
    <x v="0"/>
    <n v="12"/>
    <n v="33"/>
    <n v="396"/>
  </r>
  <r>
    <s v="19.05.2022"/>
    <x v="0"/>
    <s v="Ayşe Zengin"/>
    <x v="0"/>
    <n v="1246"/>
    <x v="1"/>
    <n v="20"/>
    <n v="28"/>
    <n v="560"/>
  </r>
  <r>
    <s v="19.05.2022"/>
    <x v="0"/>
    <s v="Ayşe Zengin"/>
    <x v="0"/>
    <n v="1725"/>
    <x v="2"/>
    <n v="37"/>
    <n v="5"/>
    <n v="185"/>
  </r>
  <r>
    <s v="19.05.2022"/>
    <x v="1"/>
    <s v="Gamze Öztürk"/>
    <x v="1"/>
    <n v="1465"/>
    <x v="0"/>
    <n v="12"/>
    <n v="0"/>
    <n v="0"/>
  </r>
  <r>
    <s v="19.05.2022"/>
    <x v="1"/>
    <s v="Gamze Öztürk"/>
    <x v="1"/>
    <n v="1246"/>
    <x v="1"/>
    <n v="20"/>
    <n v="26"/>
    <n v="520"/>
  </r>
  <r>
    <s v="19.05.2022"/>
    <x v="1"/>
    <s v="Gamze Öztürk"/>
    <x v="1"/>
    <n v="1725"/>
    <x v="2"/>
    <n v="37"/>
    <n v="18"/>
    <n v="666"/>
  </r>
  <r>
    <s v="19.05.2022"/>
    <x v="2"/>
    <s v="Melike Kara"/>
    <x v="2"/>
    <n v="1465"/>
    <x v="0"/>
    <n v="12"/>
    <n v="48"/>
    <n v="576"/>
  </r>
  <r>
    <s v="19.05.2022"/>
    <x v="2"/>
    <s v="Melike Kara"/>
    <x v="2"/>
    <n v="1246"/>
    <x v="1"/>
    <n v="20"/>
    <n v="50"/>
    <n v="1000"/>
  </r>
  <r>
    <s v="19.05.2022"/>
    <x v="2"/>
    <s v="Melike Kara"/>
    <x v="2"/>
    <n v="1725"/>
    <x v="2"/>
    <n v="37"/>
    <n v="3"/>
    <n v="111"/>
  </r>
  <r>
    <s v="19.05.2022"/>
    <x v="3"/>
    <s v="Emine Şimşek"/>
    <x v="2"/>
    <n v="1465"/>
    <x v="0"/>
    <n v="12"/>
    <n v="23"/>
    <n v="276"/>
  </r>
  <r>
    <s v="19.05.2022"/>
    <x v="3"/>
    <s v="Emine Şimşek"/>
    <x v="2"/>
    <n v="1246"/>
    <x v="1"/>
    <n v="20"/>
    <n v="16"/>
    <n v="320"/>
  </r>
  <r>
    <s v="19.05.2022"/>
    <x v="3"/>
    <s v="Emine Şimşek"/>
    <x v="2"/>
    <n v="1725"/>
    <x v="2"/>
    <n v="37"/>
    <n v="47"/>
    <n v="1739"/>
  </r>
  <r>
    <s v="19.05.2022"/>
    <x v="4"/>
    <s v="Adem Yıldız"/>
    <x v="1"/>
    <n v="1465"/>
    <x v="0"/>
    <n v="12"/>
    <n v="10"/>
    <n v="120"/>
  </r>
  <r>
    <s v="19.05.2022"/>
    <x v="4"/>
    <s v="Adem Yıldız"/>
    <x v="1"/>
    <n v="1246"/>
    <x v="1"/>
    <n v="20"/>
    <n v="16"/>
    <n v="320"/>
  </r>
  <r>
    <s v="19.05.2022"/>
    <x v="4"/>
    <s v="Adem Yıldız"/>
    <x v="1"/>
    <n v="1725"/>
    <x v="2"/>
    <n v="37"/>
    <n v="49"/>
    <n v="1813"/>
  </r>
  <r>
    <s v="19.05.2022"/>
    <x v="5"/>
    <s v="İbrahim Vural"/>
    <x v="1"/>
    <n v="1465"/>
    <x v="0"/>
    <n v="12"/>
    <n v="4"/>
    <n v="48"/>
  </r>
  <r>
    <s v="19.05.2022"/>
    <x v="5"/>
    <s v="İbrahim Vural"/>
    <x v="1"/>
    <n v="1246"/>
    <x v="1"/>
    <n v="20"/>
    <n v="4"/>
    <n v="80"/>
  </r>
  <r>
    <s v="19.05.2022"/>
    <x v="5"/>
    <s v="İbrahim Vural"/>
    <x v="1"/>
    <n v="1725"/>
    <x v="2"/>
    <n v="37"/>
    <n v="12"/>
    <n v="444"/>
  </r>
  <r>
    <s v="19.05.2022"/>
    <x v="6"/>
    <s v="Mehmet Sodacı"/>
    <x v="1"/>
    <n v="1465"/>
    <x v="0"/>
    <n v="12"/>
    <n v="39"/>
    <n v="468"/>
  </r>
  <r>
    <s v="19.05.2022"/>
    <x v="6"/>
    <s v="Mehmet Sodacı"/>
    <x v="1"/>
    <n v="1246"/>
    <x v="1"/>
    <n v="20"/>
    <n v="17"/>
    <n v="340"/>
  </r>
  <r>
    <s v="19.05.2022"/>
    <x v="6"/>
    <s v="Mehmet Sodacı"/>
    <x v="1"/>
    <n v="1725"/>
    <x v="2"/>
    <n v="37"/>
    <n v="33"/>
    <n v="1221"/>
  </r>
  <r>
    <s v="19.05.2022"/>
    <x v="7"/>
    <s v="Mete Özak"/>
    <x v="0"/>
    <n v="1465"/>
    <x v="0"/>
    <n v="12"/>
    <n v="9"/>
    <n v="108"/>
  </r>
  <r>
    <s v="19.05.2022"/>
    <x v="7"/>
    <s v="Mete Özak"/>
    <x v="0"/>
    <n v="1246"/>
    <x v="1"/>
    <n v="20"/>
    <n v="44"/>
    <n v="880"/>
  </r>
  <r>
    <s v="19.05.2022"/>
    <x v="7"/>
    <s v="Mete Özak"/>
    <x v="0"/>
    <n v="1725"/>
    <x v="2"/>
    <n v="37"/>
    <n v="29"/>
    <n v="1073"/>
  </r>
  <r>
    <s v="19.05.2022"/>
    <x v="8"/>
    <s v="Fatih Güldüren"/>
    <x v="2"/>
    <n v="1465"/>
    <x v="0"/>
    <n v="12"/>
    <n v="38"/>
    <n v="456"/>
  </r>
  <r>
    <s v="19.05.2022"/>
    <x v="8"/>
    <s v="Fatih Güldüren"/>
    <x v="2"/>
    <n v="1246"/>
    <x v="1"/>
    <n v="20"/>
    <n v="25"/>
    <n v="500"/>
  </r>
  <r>
    <s v="19.05.2022"/>
    <x v="8"/>
    <s v="Fatih Güldüren"/>
    <x v="2"/>
    <n v="1725"/>
    <x v="2"/>
    <n v="37"/>
    <n v="41"/>
    <n v="1517"/>
  </r>
  <r>
    <s v="19.05.2022"/>
    <x v="9"/>
    <s v="Zeynep Yetişen"/>
    <x v="1"/>
    <n v="1465"/>
    <x v="0"/>
    <n v="12"/>
    <n v="42"/>
    <n v="504"/>
  </r>
  <r>
    <s v="19.05.2022"/>
    <x v="9"/>
    <s v="Zeynep Yetişen"/>
    <x v="1"/>
    <n v="1246"/>
    <x v="1"/>
    <n v="20"/>
    <n v="1"/>
    <n v="20"/>
  </r>
  <r>
    <s v="19.05.2022"/>
    <x v="9"/>
    <s v="Zeynep Yetişen"/>
    <x v="1"/>
    <n v="1725"/>
    <x v="2"/>
    <n v="37"/>
    <n v="4"/>
    <n v="148"/>
  </r>
  <r>
    <s v="19.05.2022"/>
    <x v="10"/>
    <s v="Ediz Ekin"/>
    <x v="0"/>
    <n v="1465"/>
    <x v="0"/>
    <n v="12"/>
    <n v="3"/>
    <n v="36"/>
  </r>
  <r>
    <s v="19.05.2022"/>
    <x v="10"/>
    <s v="Ediz Ekin"/>
    <x v="0"/>
    <n v="1246"/>
    <x v="1"/>
    <n v="20"/>
    <n v="1"/>
    <n v="20"/>
  </r>
  <r>
    <s v="19.05.2022"/>
    <x v="10"/>
    <s v="Ediz Ekin"/>
    <x v="0"/>
    <n v="1725"/>
    <x v="2"/>
    <n v="37"/>
    <n v="30"/>
    <n v="1110"/>
  </r>
  <r>
    <s v="19.05.2022"/>
    <x v="11"/>
    <s v="Alper Çakır"/>
    <x v="0"/>
    <n v="1465"/>
    <x v="0"/>
    <n v="12"/>
    <n v="11"/>
    <n v="132"/>
  </r>
  <r>
    <s v="19.05.2022"/>
    <x v="11"/>
    <s v="Alper Çakır"/>
    <x v="0"/>
    <n v="1246"/>
    <x v="1"/>
    <n v="20"/>
    <n v="48"/>
    <n v="960"/>
  </r>
  <r>
    <s v="19.05.2022"/>
    <x v="11"/>
    <s v="Alper Çakır"/>
    <x v="0"/>
    <n v="1725"/>
    <x v="2"/>
    <n v="37"/>
    <n v="28"/>
    <n v="1036"/>
  </r>
  <r>
    <s v="19.05.2022"/>
    <x v="12"/>
    <s v="Enver Toprak"/>
    <x v="2"/>
    <n v="1465"/>
    <x v="0"/>
    <n v="12"/>
    <n v="25"/>
    <n v="300"/>
  </r>
  <r>
    <s v="19.05.2022"/>
    <x v="12"/>
    <s v="Enver Toprak"/>
    <x v="2"/>
    <n v="1246"/>
    <x v="1"/>
    <n v="20"/>
    <n v="27"/>
    <n v="540"/>
  </r>
  <r>
    <s v="19.05.2022"/>
    <x v="12"/>
    <s v="Enver Toprak"/>
    <x v="2"/>
    <n v="1725"/>
    <x v="2"/>
    <n v="37"/>
    <n v="12"/>
    <n v="444"/>
  </r>
  <r>
    <s v="19.05.2022"/>
    <x v="13"/>
    <s v="Recep Koca"/>
    <x v="2"/>
    <n v="1465"/>
    <x v="0"/>
    <n v="12"/>
    <n v="23"/>
    <n v="276"/>
  </r>
  <r>
    <s v="19.05.2022"/>
    <x v="13"/>
    <s v="Recep Koca"/>
    <x v="2"/>
    <n v="1246"/>
    <x v="1"/>
    <n v="20"/>
    <n v="4"/>
    <n v="80"/>
  </r>
  <r>
    <s v="19.05.2022"/>
    <x v="13"/>
    <s v="Recep Koca"/>
    <x v="2"/>
    <n v="1725"/>
    <x v="2"/>
    <n v="37"/>
    <n v="0"/>
    <n v="0"/>
  </r>
  <r>
    <s v="19.05.2022"/>
    <x v="14"/>
    <s v="Murat Maden"/>
    <x v="0"/>
    <n v="1465"/>
    <x v="0"/>
    <n v="12"/>
    <n v="20"/>
    <n v="240"/>
  </r>
  <r>
    <s v="19.05.2022"/>
    <x v="14"/>
    <s v="Murat Maden"/>
    <x v="0"/>
    <n v="1246"/>
    <x v="1"/>
    <n v="20"/>
    <n v="20"/>
    <n v="400"/>
  </r>
  <r>
    <s v="19.05.2022"/>
    <x v="14"/>
    <s v="Murat Maden"/>
    <x v="0"/>
    <n v="1725"/>
    <x v="2"/>
    <n v="37"/>
    <n v="20"/>
    <n v="740"/>
  </r>
  <r>
    <s v="19.05.2022"/>
    <x v="15"/>
    <s v="Zeki Civan"/>
    <x v="1"/>
    <n v="1465"/>
    <x v="0"/>
    <n v="12"/>
    <n v="8"/>
    <n v="96"/>
  </r>
  <r>
    <s v="19.05.2022"/>
    <x v="15"/>
    <s v="Zeki Civan"/>
    <x v="1"/>
    <n v="1246"/>
    <x v="1"/>
    <n v="20"/>
    <n v="41"/>
    <n v="820"/>
  </r>
  <r>
    <s v="19.05.2022"/>
    <x v="15"/>
    <s v="Zeki Civan"/>
    <x v="1"/>
    <n v="1725"/>
    <x v="2"/>
    <n v="37"/>
    <n v="26"/>
    <n v="962"/>
  </r>
  <r>
    <s v="19.05.2022"/>
    <x v="16"/>
    <s v="Gülsüm Çalışkan"/>
    <x v="1"/>
    <n v="1465"/>
    <x v="0"/>
    <n v="12"/>
    <n v="11"/>
    <n v="132"/>
  </r>
  <r>
    <s v="19.05.2022"/>
    <x v="16"/>
    <s v="Gülsüm Çalışkan"/>
    <x v="1"/>
    <n v="1246"/>
    <x v="1"/>
    <n v="20"/>
    <n v="13"/>
    <n v="260"/>
  </r>
  <r>
    <s v="19.05.2022"/>
    <x v="16"/>
    <s v="Gülsüm Çalışkan"/>
    <x v="1"/>
    <n v="1725"/>
    <x v="2"/>
    <n v="37"/>
    <n v="26"/>
    <n v="962"/>
  </r>
  <r>
    <s v="20.05.2022"/>
    <x v="0"/>
    <s v="Ayşe Zengin"/>
    <x v="0"/>
    <n v="1465"/>
    <x v="0"/>
    <n v="12"/>
    <n v="34"/>
    <n v="408"/>
  </r>
  <r>
    <s v="20.05.2022"/>
    <x v="0"/>
    <s v="Ayşe Zengin"/>
    <x v="0"/>
    <n v="1246"/>
    <x v="1"/>
    <n v="20"/>
    <n v="33"/>
    <n v="660"/>
  </r>
  <r>
    <s v="20.05.2022"/>
    <x v="0"/>
    <s v="Ayşe Zengin"/>
    <x v="0"/>
    <n v="1725"/>
    <x v="2"/>
    <n v="37"/>
    <n v="42"/>
    <n v="1554"/>
  </r>
  <r>
    <s v="20.05.2022"/>
    <x v="1"/>
    <s v="Gamze Öztürk"/>
    <x v="1"/>
    <n v="1465"/>
    <x v="0"/>
    <n v="12"/>
    <n v="47"/>
    <n v="564"/>
  </r>
  <r>
    <s v="20.05.2022"/>
    <x v="1"/>
    <s v="Gamze Öztürk"/>
    <x v="1"/>
    <n v="1246"/>
    <x v="1"/>
    <n v="20"/>
    <n v="3"/>
    <n v="60"/>
  </r>
  <r>
    <s v="20.05.2022"/>
    <x v="1"/>
    <s v="Gamze Öztürk"/>
    <x v="1"/>
    <n v="1725"/>
    <x v="2"/>
    <n v="37"/>
    <n v="40"/>
    <n v="1480"/>
  </r>
  <r>
    <s v="20.05.2022"/>
    <x v="2"/>
    <s v="Melike Kara"/>
    <x v="2"/>
    <n v="1465"/>
    <x v="0"/>
    <n v="12"/>
    <n v="22"/>
    <n v="264"/>
  </r>
  <r>
    <s v="20.05.2022"/>
    <x v="2"/>
    <s v="Melike Kara"/>
    <x v="2"/>
    <n v="1246"/>
    <x v="1"/>
    <n v="20"/>
    <n v="36"/>
    <n v="720"/>
  </r>
  <r>
    <s v="20.05.2022"/>
    <x v="2"/>
    <s v="Melike Kara"/>
    <x v="2"/>
    <n v="1725"/>
    <x v="2"/>
    <n v="37"/>
    <n v="11"/>
    <n v="407"/>
  </r>
  <r>
    <s v="20.05.2022"/>
    <x v="3"/>
    <s v="Emine Şimşek"/>
    <x v="2"/>
    <n v="1465"/>
    <x v="0"/>
    <n v="12"/>
    <n v="38"/>
    <n v="456"/>
  </r>
  <r>
    <s v="20.05.2022"/>
    <x v="3"/>
    <s v="Emine Şimşek"/>
    <x v="2"/>
    <n v="1246"/>
    <x v="1"/>
    <n v="20"/>
    <n v="42"/>
    <n v="840"/>
  </r>
  <r>
    <s v="20.05.2022"/>
    <x v="3"/>
    <s v="Emine Şimşek"/>
    <x v="2"/>
    <n v="1725"/>
    <x v="2"/>
    <n v="37"/>
    <n v="9"/>
    <n v="333"/>
  </r>
  <r>
    <s v="20.05.2022"/>
    <x v="4"/>
    <s v="Adem Yıldız"/>
    <x v="1"/>
    <n v="1465"/>
    <x v="0"/>
    <n v="12"/>
    <n v="4"/>
    <n v="48"/>
  </r>
  <r>
    <s v="20.05.2022"/>
    <x v="4"/>
    <s v="Adem Yıldız"/>
    <x v="1"/>
    <n v="1246"/>
    <x v="1"/>
    <n v="20"/>
    <n v="21"/>
    <n v="420"/>
  </r>
  <r>
    <s v="20.05.2022"/>
    <x v="4"/>
    <s v="Adem Yıldız"/>
    <x v="1"/>
    <n v="1725"/>
    <x v="2"/>
    <n v="37"/>
    <n v="22"/>
    <n v="814"/>
  </r>
  <r>
    <s v="20.05.2022"/>
    <x v="5"/>
    <s v="İbrahim Vural"/>
    <x v="1"/>
    <n v="1465"/>
    <x v="0"/>
    <n v="12"/>
    <n v="54"/>
    <n v="648"/>
  </r>
  <r>
    <s v="20.05.2022"/>
    <x v="5"/>
    <s v="İbrahim Vural"/>
    <x v="1"/>
    <n v="1246"/>
    <x v="1"/>
    <n v="20"/>
    <n v="32"/>
    <n v="640"/>
  </r>
  <r>
    <s v="20.05.2022"/>
    <x v="5"/>
    <s v="İbrahim Vural"/>
    <x v="1"/>
    <n v="1725"/>
    <x v="2"/>
    <n v="37"/>
    <n v="24"/>
    <n v="888"/>
  </r>
  <r>
    <s v="20.05.2022"/>
    <x v="6"/>
    <s v="Mehmet Sodacı"/>
    <x v="1"/>
    <n v="1465"/>
    <x v="0"/>
    <n v="12"/>
    <n v="22"/>
    <n v="264"/>
  </r>
  <r>
    <s v="20.05.2022"/>
    <x v="6"/>
    <s v="Mehmet Sodacı"/>
    <x v="1"/>
    <n v="1246"/>
    <x v="1"/>
    <n v="20"/>
    <n v="7"/>
    <n v="140"/>
  </r>
  <r>
    <s v="20.05.2022"/>
    <x v="6"/>
    <s v="Mehmet Sodacı"/>
    <x v="1"/>
    <n v="1725"/>
    <x v="2"/>
    <n v="37"/>
    <n v="25"/>
    <n v="925"/>
  </r>
  <r>
    <s v="20.05.2022"/>
    <x v="7"/>
    <s v="Mete Özak"/>
    <x v="0"/>
    <n v="1465"/>
    <x v="0"/>
    <n v="12"/>
    <n v="10"/>
    <n v="120"/>
  </r>
  <r>
    <s v="20.05.2022"/>
    <x v="7"/>
    <s v="Mete Özak"/>
    <x v="0"/>
    <n v="1246"/>
    <x v="1"/>
    <n v="20"/>
    <n v="17"/>
    <n v="340"/>
  </r>
  <r>
    <s v="20.05.2022"/>
    <x v="7"/>
    <s v="Mete Özak"/>
    <x v="0"/>
    <n v="1725"/>
    <x v="2"/>
    <n v="37"/>
    <n v="30"/>
    <n v="1110"/>
  </r>
  <r>
    <s v="20.05.2022"/>
    <x v="8"/>
    <s v="Fatih Güldüren"/>
    <x v="2"/>
    <n v="1465"/>
    <x v="0"/>
    <n v="12"/>
    <n v="41"/>
    <n v="492"/>
  </r>
  <r>
    <s v="20.05.2022"/>
    <x v="8"/>
    <s v="Fatih Güldüren"/>
    <x v="2"/>
    <n v="1246"/>
    <x v="1"/>
    <n v="20"/>
    <n v="35"/>
    <n v="700"/>
  </r>
  <r>
    <s v="20.05.2022"/>
    <x v="8"/>
    <s v="Fatih Güldüren"/>
    <x v="2"/>
    <n v="1725"/>
    <x v="2"/>
    <n v="37"/>
    <n v="2"/>
    <n v="74"/>
  </r>
  <r>
    <s v="20.05.2022"/>
    <x v="9"/>
    <s v="Zeynep Yetişen"/>
    <x v="1"/>
    <n v="1465"/>
    <x v="0"/>
    <n v="12"/>
    <n v="7"/>
    <n v="84"/>
  </r>
  <r>
    <s v="20.05.2022"/>
    <x v="9"/>
    <s v="Zeynep Yetişen"/>
    <x v="1"/>
    <n v="1246"/>
    <x v="1"/>
    <n v="20"/>
    <n v="5"/>
    <n v="100"/>
  </r>
  <r>
    <s v="20.05.2022"/>
    <x v="9"/>
    <s v="Zeynep Yetişen"/>
    <x v="1"/>
    <n v="1725"/>
    <x v="2"/>
    <n v="37"/>
    <n v="5"/>
    <n v="185"/>
  </r>
  <r>
    <s v="20.05.2022"/>
    <x v="10"/>
    <s v="Ediz Ekin"/>
    <x v="0"/>
    <n v="1465"/>
    <x v="0"/>
    <n v="12"/>
    <n v="8"/>
    <n v="96"/>
  </r>
  <r>
    <s v="20.05.2022"/>
    <x v="10"/>
    <s v="Ediz Ekin"/>
    <x v="0"/>
    <n v="1246"/>
    <x v="1"/>
    <n v="20"/>
    <n v="20"/>
    <n v="400"/>
  </r>
  <r>
    <s v="20.05.2022"/>
    <x v="10"/>
    <s v="Ediz Ekin"/>
    <x v="0"/>
    <n v="1725"/>
    <x v="2"/>
    <n v="37"/>
    <n v="9"/>
    <n v="333"/>
  </r>
  <r>
    <s v="20.05.2022"/>
    <x v="11"/>
    <s v="Alper Çakır"/>
    <x v="0"/>
    <n v="1465"/>
    <x v="0"/>
    <n v="12"/>
    <n v="2"/>
    <n v="24"/>
  </r>
  <r>
    <s v="20.05.2022"/>
    <x v="11"/>
    <s v="Alper Çakır"/>
    <x v="0"/>
    <n v="1246"/>
    <x v="1"/>
    <n v="20"/>
    <n v="42"/>
    <n v="840"/>
  </r>
  <r>
    <s v="20.05.2022"/>
    <x v="11"/>
    <s v="Alper Çakır"/>
    <x v="0"/>
    <n v="1725"/>
    <x v="2"/>
    <n v="37"/>
    <n v="21"/>
    <n v="777"/>
  </r>
  <r>
    <s v="20.05.2022"/>
    <x v="12"/>
    <s v="Enver Toprak"/>
    <x v="2"/>
    <n v="1465"/>
    <x v="0"/>
    <n v="12"/>
    <n v="9"/>
    <n v="108"/>
  </r>
  <r>
    <s v="20.05.2022"/>
    <x v="12"/>
    <s v="Enver Toprak"/>
    <x v="2"/>
    <n v="1246"/>
    <x v="1"/>
    <n v="20"/>
    <n v="23"/>
    <n v="460"/>
  </r>
  <r>
    <s v="20.05.2022"/>
    <x v="12"/>
    <s v="Enver Toprak"/>
    <x v="2"/>
    <n v="1725"/>
    <x v="2"/>
    <n v="37"/>
    <n v="25"/>
    <n v="925"/>
  </r>
  <r>
    <s v="20.05.2022"/>
    <x v="13"/>
    <s v="Recep Koca"/>
    <x v="2"/>
    <n v="1465"/>
    <x v="0"/>
    <n v="12"/>
    <n v="40"/>
    <n v="480"/>
  </r>
  <r>
    <s v="20.05.2022"/>
    <x v="13"/>
    <s v="Recep Koca"/>
    <x v="2"/>
    <n v="1246"/>
    <x v="1"/>
    <n v="20"/>
    <n v="42"/>
    <n v="840"/>
  </r>
  <r>
    <s v="20.05.2022"/>
    <x v="13"/>
    <s v="Recep Koca"/>
    <x v="2"/>
    <n v="1725"/>
    <x v="2"/>
    <n v="37"/>
    <n v="43"/>
    <n v="1591"/>
  </r>
  <r>
    <s v="20.05.2022"/>
    <x v="14"/>
    <s v="Murat Maden"/>
    <x v="0"/>
    <n v="1465"/>
    <x v="0"/>
    <n v="12"/>
    <n v="20"/>
    <n v="240"/>
  </r>
  <r>
    <s v="20.05.2022"/>
    <x v="14"/>
    <s v="Murat Maden"/>
    <x v="0"/>
    <n v="1246"/>
    <x v="1"/>
    <n v="20"/>
    <n v="20"/>
    <n v="400"/>
  </r>
  <r>
    <s v="20.05.2022"/>
    <x v="14"/>
    <s v="Murat Maden"/>
    <x v="0"/>
    <n v="1725"/>
    <x v="2"/>
    <n v="37"/>
    <n v="20"/>
    <n v="740"/>
  </r>
  <r>
    <s v="20.05.2022"/>
    <x v="15"/>
    <s v="Zeki Civan"/>
    <x v="1"/>
    <n v="1465"/>
    <x v="0"/>
    <n v="12"/>
    <n v="20"/>
    <n v="240"/>
  </r>
  <r>
    <s v="20.05.2022"/>
    <x v="15"/>
    <s v="Zeki Civan"/>
    <x v="1"/>
    <n v="1246"/>
    <x v="1"/>
    <n v="20"/>
    <n v="12"/>
    <n v="240"/>
  </r>
  <r>
    <s v="20.05.2022"/>
    <x v="15"/>
    <s v="Zeki Civan"/>
    <x v="1"/>
    <n v="1725"/>
    <x v="2"/>
    <n v="37"/>
    <n v="43"/>
    <n v="1591"/>
  </r>
  <r>
    <s v="20.05.2022"/>
    <x v="16"/>
    <s v="Gülsüm Çalışkan"/>
    <x v="1"/>
    <n v="1465"/>
    <x v="0"/>
    <n v="12"/>
    <n v="32"/>
    <n v="384"/>
  </r>
  <r>
    <s v="20.05.2022"/>
    <x v="16"/>
    <s v="Gülsüm Çalışkan"/>
    <x v="1"/>
    <n v="1246"/>
    <x v="1"/>
    <n v="20"/>
    <n v="26"/>
    <n v="520"/>
  </r>
  <r>
    <s v="20.05.2022"/>
    <x v="16"/>
    <s v="Gülsüm Çalışkan"/>
    <x v="1"/>
    <n v="1725"/>
    <x v="2"/>
    <n v="37"/>
    <n v="11"/>
    <n v="407"/>
  </r>
  <r>
    <s v="21.05.2022"/>
    <x v="0"/>
    <s v="Ayşe Zengin"/>
    <x v="0"/>
    <n v="1465"/>
    <x v="0"/>
    <n v="12"/>
    <n v="49"/>
    <n v="588"/>
  </r>
  <r>
    <s v="21.05.2022"/>
    <x v="0"/>
    <s v="Ayşe Zengin"/>
    <x v="0"/>
    <n v="1246"/>
    <x v="1"/>
    <n v="20"/>
    <n v="32"/>
    <n v="640"/>
  </r>
  <r>
    <s v="21.05.2022"/>
    <x v="0"/>
    <s v="Ayşe Zengin"/>
    <x v="0"/>
    <n v="1725"/>
    <x v="2"/>
    <n v="37"/>
    <n v="27"/>
    <n v="999"/>
  </r>
  <r>
    <s v="21.05.2022"/>
    <x v="1"/>
    <s v="Gamze Öztürk"/>
    <x v="1"/>
    <n v="1465"/>
    <x v="0"/>
    <n v="12"/>
    <n v="29"/>
    <n v="348"/>
  </r>
  <r>
    <s v="21.05.2022"/>
    <x v="1"/>
    <s v="Gamze Öztürk"/>
    <x v="1"/>
    <n v="1246"/>
    <x v="1"/>
    <n v="20"/>
    <n v="19"/>
    <n v="380"/>
  </r>
  <r>
    <s v="21.05.2022"/>
    <x v="1"/>
    <s v="Gamze Öztürk"/>
    <x v="1"/>
    <n v="1725"/>
    <x v="2"/>
    <n v="37"/>
    <n v="39"/>
    <n v="1443"/>
  </r>
  <r>
    <s v="21.05.2022"/>
    <x v="2"/>
    <s v="Melike Kara"/>
    <x v="2"/>
    <n v="1465"/>
    <x v="0"/>
    <n v="12"/>
    <n v="9"/>
    <n v="108"/>
  </r>
  <r>
    <s v="21.05.2022"/>
    <x v="2"/>
    <s v="Melike Kara"/>
    <x v="2"/>
    <n v="1246"/>
    <x v="1"/>
    <n v="20"/>
    <n v="34"/>
    <n v="680"/>
  </r>
  <r>
    <s v="21.05.2022"/>
    <x v="2"/>
    <s v="Melike Kara"/>
    <x v="2"/>
    <n v="1725"/>
    <x v="2"/>
    <n v="37"/>
    <n v="43"/>
    <n v="1591"/>
  </r>
  <r>
    <s v="21.05.2022"/>
    <x v="3"/>
    <s v="Emine Şimşek"/>
    <x v="2"/>
    <n v="1465"/>
    <x v="0"/>
    <n v="12"/>
    <n v="19"/>
    <n v="228"/>
  </r>
  <r>
    <s v="21.05.2022"/>
    <x v="3"/>
    <s v="Emine Şimşek"/>
    <x v="2"/>
    <n v="1246"/>
    <x v="1"/>
    <n v="20"/>
    <n v="22"/>
    <n v="440"/>
  </r>
  <r>
    <s v="21.05.2022"/>
    <x v="3"/>
    <s v="Emine Şimşek"/>
    <x v="2"/>
    <n v="1725"/>
    <x v="2"/>
    <n v="37"/>
    <n v="36"/>
    <n v="1332"/>
  </r>
  <r>
    <s v="21.05.2022"/>
    <x v="4"/>
    <s v="Adem Yıldız"/>
    <x v="1"/>
    <n v="1465"/>
    <x v="0"/>
    <n v="12"/>
    <n v="6"/>
    <n v="72"/>
  </r>
  <r>
    <s v="21.05.2022"/>
    <x v="4"/>
    <s v="Adem Yıldız"/>
    <x v="1"/>
    <n v="1246"/>
    <x v="1"/>
    <n v="20"/>
    <n v="15"/>
    <n v="300"/>
  </r>
  <r>
    <s v="21.05.2022"/>
    <x v="4"/>
    <s v="Adem Yıldız"/>
    <x v="1"/>
    <n v="1725"/>
    <x v="2"/>
    <n v="37"/>
    <n v="19"/>
    <n v="703"/>
  </r>
  <r>
    <s v="21.05.2022"/>
    <x v="5"/>
    <s v="İbrahim Vural"/>
    <x v="1"/>
    <n v="1465"/>
    <x v="0"/>
    <n v="12"/>
    <n v="85"/>
    <n v="1020"/>
  </r>
  <r>
    <s v="21.05.2022"/>
    <x v="5"/>
    <s v="İbrahim Vural"/>
    <x v="1"/>
    <n v="1246"/>
    <x v="1"/>
    <n v="20"/>
    <n v="10"/>
    <n v="200"/>
  </r>
  <r>
    <s v="21.05.2022"/>
    <x v="5"/>
    <s v="İbrahim Vural"/>
    <x v="1"/>
    <n v="1725"/>
    <x v="2"/>
    <n v="37"/>
    <n v="2"/>
    <n v="74"/>
  </r>
  <r>
    <s v="21.05.2022"/>
    <x v="6"/>
    <s v="Mehmet Sodacı"/>
    <x v="1"/>
    <n v="1465"/>
    <x v="0"/>
    <n v="12"/>
    <n v="13"/>
    <n v="156"/>
  </r>
  <r>
    <s v="21.05.2022"/>
    <x v="6"/>
    <s v="Mehmet Sodacı"/>
    <x v="1"/>
    <n v="1246"/>
    <x v="1"/>
    <n v="20"/>
    <n v="4"/>
    <n v="80"/>
  </r>
  <r>
    <s v="21.05.2022"/>
    <x v="6"/>
    <s v="Mehmet Sodacı"/>
    <x v="1"/>
    <n v="1725"/>
    <x v="2"/>
    <n v="37"/>
    <n v="20"/>
    <n v="740"/>
  </r>
  <r>
    <s v="21.05.2022"/>
    <x v="7"/>
    <s v="Mete Özak"/>
    <x v="0"/>
    <n v="1465"/>
    <x v="0"/>
    <n v="12"/>
    <n v="29"/>
    <n v="348"/>
  </r>
  <r>
    <s v="21.05.2022"/>
    <x v="7"/>
    <s v="Mete Özak"/>
    <x v="0"/>
    <n v="1246"/>
    <x v="1"/>
    <n v="20"/>
    <n v="40"/>
    <n v="800"/>
  </r>
  <r>
    <s v="21.05.2022"/>
    <x v="7"/>
    <s v="Mete Özak"/>
    <x v="0"/>
    <n v="1725"/>
    <x v="2"/>
    <n v="37"/>
    <n v="5"/>
    <n v="185"/>
  </r>
  <r>
    <s v="21.05.2022"/>
    <x v="8"/>
    <s v="Fatih Güldüren"/>
    <x v="2"/>
    <n v="1465"/>
    <x v="0"/>
    <n v="12"/>
    <n v="46"/>
    <n v="552"/>
  </r>
  <r>
    <s v="21.05.2022"/>
    <x v="8"/>
    <s v="Fatih Güldüren"/>
    <x v="2"/>
    <n v="1246"/>
    <x v="1"/>
    <n v="20"/>
    <n v="25"/>
    <n v="500"/>
  </r>
  <r>
    <s v="21.05.2022"/>
    <x v="8"/>
    <s v="Fatih Güldüren"/>
    <x v="2"/>
    <n v="1725"/>
    <x v="2"/>
    <n v="37"/>
    <n v="9"/>
    <n v="333"/>
  </r>
  <r>
    <s v="21.05.2022"/>
    <x v="9"/>
    <s v="Zeynep Yetişen"/>
    <x v="1"/>
    <n v="1465"/>
    <x v="0"/>
    <n v="12"/>
    <n v="3"/>
    <n v="36"/>
  </r>
  <r>
    <s v="21.05.2022"/>
    <x v="9"/>
    <s v="Zeynep Yetişen"/>
    <x v="1"/>
    <n v="1246"/>
    <x v="1"/>
    <n v="20"/>
    <n v="5"/>
    <n v="100"/>
  </r>
  <r>
    <s v="21.05.2022"/>
    <x v="9"/>
    <s v="Zeynep Yetişen"/>
    <x v="1"/>
    <n v="1725"/>
    <x v="2"/>
    <n v="37"/>
    <n v="7"/>
    <n v="259"/>
  </r>
  <r>
    <s v="21.05.2022"/>
    <x v="10"/>
    <s v="Ediz Ekin"/>
    <x v="0"/>
    <n v="1465"/>
    <x v="0"/>
    <n v="12"/>
    <n v="49"/>
    <n v="588"/>
  </r>
  <r>
    <s v="21.05.2022"/>
    <x v="10"/>
    <s v="Ediz Ekin"/>
    <x v="0"/>
    <n v="1246"/>
    <x v="1"/>
    <n v="20"/>
    <n v="29"/>
    <n v="580"/>
  </r>
  <r>
    <s v="21.05.2022"/>
    <x v="10"/>
    <s v="Ediz Ekin"/>
    <x v="0"/>
    <n v="1725"/>
    <x v="2"/>
    <n v="37"/>
    <n v="31"/>
    <n v="1147"/>
  </r>
  <r>
    <s v="21.05.2022"/>
    <x v="11"/>
    <s v="Alper Çakır"/>
    <x v="0"/>
    <n v="1465"/>
    <x v="0"/>
    <n v="12"/>
    <n v="33"/>
    <n v="396"/>
  </r>
  <r>
    <s v="21.05.2022"/>
    <x v="11"/>
    <s v="Alper Çakır"/>
    <x v="0"/>
    <n v="1246"/>
    <x v="1"/>
    <n v="20"/>
    <n v="36"/>
    <n v="720"/>
  </r>
  <r>
    <s v="21.05.2022"/>
    <x v="11"/>
    <s v="Alper Çakır"/>
    <x v="0"/>
    <n v="1725"/>
    <x v="2"/>
    <n v="37"/>
    <n v="41"/>
    <n v="1517"/>
  </r>
  <r>
    <s v="21.05.2022"/>
    <x v="12"/>
    <s v="Enver Toprak"/>
    <x v="2"/>
    <n v="1465"/>
    <x v="0"/>
    <n v="12"/>
    <n v="33"/>
    <n v="396"/>
  </r>
  <r>
    <s v="21.05.2022"/>
    <x v="12"/>
    <s v="Enver Toprak"/>
    <x v="2"/>
    <n v="1246"/>
    <x v="1"/>
    <n v="20"/>
    <n v="21"/>
    <n v="420"/>
  </r>
  <r>
    <s v="21.05.2022"/>
    <x v="12"/>
    <s v="Enver Toprak"/>
    <x v="2"/>
    <n v="1725"/>
    <x v="2"/>
    <n v="37"/>
    <n v="13"/>
    <n v="481"/>
  </r>
  <r>
    <s v="21.05.2022"/>
    <x v="13"/>
    <s v="Recep Koca"/>
    <x v="2"/>
    <n v="1465"/>
    <x v="0"/>
    <n v="12"/>
    <n v="21"/>
    <n v="252"/>
  </r>
  <r>
    <s v="21.05.2022"/>
    <x v="13"/>
    <s v="Recep Koca"/>
    <x v="2"/>
    <n v="1246"/>
    <x v="1"/>
    <n v="20"/>
    <n v="41"/>
    <n v="820"/>
  </r>
  <r>
    <s v="21.05.2022"/>
    <x v="13"/>
    <s v="Recep Koca"/>
    <x v="2"/>
    <n v="1725"/>
    <x v="2"/>
    <n v="37"/>
    <n v="38"/>
    <n v="1406"/>
  </r>
  <r>
    <s v="21.05.2022"/>
    <x v="14"/>
    <s v="Murat Maden"/>
    <x v="0"/>
    <n v="1465"/>
    <x v="0"/>
    <n v="12"/>
    <n v="20"/>
    <n v="240"/>
  </r>
  <r>
    <s v="21.05.2022"/>
    <x v="14"/>
    <s v="Murat Maden"/>
    <x v="0"/>
    <n v="1246"/>
    <x v="1"/>
    <n v="20"/>
    <n v="20"/>
    <n v="400"/>
  </r>
  <r>
    <s v="21.05.2022"/>
    <x v="14"/>
    <s v="Murat Maden"/>
    <x v="0"/>
    <n v="1725"/>
    <x v="2"/>
    <n v="37"/>
    <n v="20"/>
    <n v="740"/>
  </r>
  <r>
    <s v="21.05.2022"/>
    <x v="15"/>
    <s v="Zeki Civan"/>
    <x v="1"/>
    <n v="1465"/>
    <x v="0"/>
    <n v="12"/>
    <n v="0"/>
    <n v="0"/>
  </r>
  <r>
    <s v="21.05.2022"/>
    <x v="15"/>
    <s v="Zeki Civan"/>
    <x v="1"/>
    <n v="1246"/>
    <x v="1"/>
    <n v="20"/>
    <n v="15"/>
    <n v="300"/>
  </r>
  <r>
    <s v="21.05.2022"/>
    <x v="15"/>
    <s v="Zeki Civan"/>
    <x v="1"/>
    <n v="1725"/>
    <x v="2"/>
    <n v="37"/>
    <n v="40"/>
    <n v="1480"/>
  </r>
  <r>
    <s v="21.05.2022"/>
    <x v="16"/>
    <s v="Gülsüm Çalışkan"/>
    <x v="1"/>
    <n v="1465"/>
    <x v="0"/>
    <n v="12"/>
    <n v="28"/>
    <n v="336"/>
  </r>
  <r>
    <s v="21.05.2022"/>
    <x v="16"/>
    <s v="Gülsüm Çalışkan"/>
    <x v="1"/>
    <n v="1246"/>
    <x v="1"/>
    <n v="20"/>
    <n v="7"/>
    <n v="140"/>
  </r>
  <r>
    <s v="21.05.2022"/>
    <x v="16"/>
    <s v="Gülsüm Çalışkan"/>
    <x v="1"/>
    <n v="1725"/>
    <x v="2"/>
    <n v="37"/>
    <n v="11"/>
    <n v="407"/>
  </r>
  <r>
    <m/>
    <x v="17"/>
    <m/>
    <x v="3"/>
    <m/>
    <x v="3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DF9C67-B6BF-4DA0-8E0C-DC38EF7ABB62}" name="PivotTable2" cacheId="4" applyNumberFormats="0" applyBorderFormats="0" applyFontFormats="0" applyPatternFormats="0" applyAlignmentFormats="0" applyWidthHeightFormats="1" dataCaption="Değerler" updatedVersion="7" minRefreshableVersion="3" useAutoFormatting="1" itemPrintTitles="1" createdVersion="7" indent="0" outline="1" outlineData="1" multipleFieldFilters="0">
  <location ref="A3:C7" firstHeaderRow="0" firstDataRow="1" firstDataCol="1"/>
  <pivotFields count="9">
    <pivotField showAll="0"/>
    <pivotField showAll="0"/>
    <pivotField showAll="0"/>
    <pivotField showAll="0"/>
    <pivotField showAll="0"/>
    <pivotField axis="axisRow" showAll="0">
      <items count="8">
        <item m="1" x="6"/>
        <item m="1" x="5"/>
        <item m="1" x="3"/>
        <item m="1" x="4"/>
        <item x="0"/>
        <item x="1"/>
        <item x="2"/>
        <item t="default"/>
      </items>
    </pivotField>
    <pivotField numFmtId="164" showAll="0"/>
    <pivotField dataField="1" showAll="0"/>
    <pivotField dataField="1" numFmtId="164" showAll="0"/>
  </pivotFields>
  <rowFields count="1">
    <field x="5"/>
  </rowFields>
  <rowItems count="4"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Toplam Satış Adeti" fld="7" baseField="0" baseItem="0"/>
    <dataField name="Toplam Toplam TL" fld="8" baseField="0" baseItem="0" numFmtId="164"/>
  </dataFields>
  <formats count="1">
    <format dxfId="1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B38502-745F-4DE2-9498-D90FE878126A}" name="PivotTable7" cacheId="9" applyNumberFormats="0" applyBorderFormats="0" applyFontFormats="0" applyPatternFormats="0" applyAlignmentFormats="0" applyWidthHeightFormats="1" dataCaption="Değerler" updatedVersion="7" minRefreshableVersion="3" useAutoFormatting="1" itemPrintTitles="1" createdVersion="7" indent="0" outline="1" outlineData="1" multipleFieldFilters="0" chartFormat="3">
  <location ref="A5:F29" firstHeaderRow="1" firstDataRow="2" firstDataCol="1"/>
  <pivotFields count="9">
    <pivotField showAll="0"/>
    <pivotField axis="axisRow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  <pivotField axis="axisRow" showAll="0">
      <items count="5">
        <item x="2"/>
        <item x="1"/>
        <item x="0"/>
        <item x="3"/>
        <item t="default"/>
      </items>
    </pivotField>
    <pivotField showAll="0"/>
    <pivotField axis="axisCol" showAll="0">
      <items count="9">
        <item m="1" x="7"/>
        <item m="1" x="6"/>
        <item m="1" x="4"/>
        <item x="3"/>
        <item m="1" x="5"/>
        <item x="0"/>
        <item x="1"/>
        <item x="2"/>
        <item t="default"/>
      </items>
    </pivotField>
    <pivotField showAll="0"/>
    <pivotField showAll="0"/>
    <pivotField dataField="1" showAll="0"/>
  </pivotFields>
  <rowFields count="2">
    <field x="3"/>
    <field x="1"/>
  </rowFields>
  <rowItems count="23">
    <i>
      <x/>
    </i>
    <i r="1">
      <x v="2"/>
    </i>
    <i r="1">
      <x v="3"/>
    </i>
    <i r="1">
      <x v="8"/>
    </i>
    <i r="1">
      <x v="12"/>
    </i>
    <i r="1">
      <x v="13"/>
    </i>
    <i>
      <x v="1"/>
    </i>
    <i r="1">
      <x v="1"/>
    </i>
    <i r="1">
      <x v="4"/>
    </i>
    <i r="1">
      <x v="5"/>
    </i>
    <i r="1">
      <x v="6"/>
    </i>
    <i r="1">
      <x v="9"/>
    </i>
    <i r="1">
      <x v="15"/>
    </i>
    <i r="1">
      <x v="16"/>
    </i>
    <i>
      <x v="2"/>
    </i>
    <i r="1">
      <x/>
    </i>
    <i r="1">
      <x v="7"/>
    </i>
    <i r="1">
      <x v="10"/>
    </i>
    <i r="1">
      <x v="11"/>
    </i>
    <i r="1">
      <x v="14"/>
    </i>
    <i>
      <x v="3"/>
    </i>
    <i r="1">
      <x v="17"/>
    </i>
    <i t="grand">
      <x/>
    </i>
  </rowItems>
  <colFields count="1">
    <field x="5"/>
  </colFields>
  <colItems count="5">
    <i>
      <x v="3"/>
    </i>
    <i>
      <x v="5"/>
    </i>
    <i>
      <x v="6"/>
    </i>
    <i>
      <x v="7"/>
    </i>
    <i t="grand">
      <x/>
    </i>
  </colItems>
  <dataFields count="1">
    <dataField name="Toplam Toplam TL" fld="8" baseField="0" baseItem="0"/>
  </dataFields>
  <formats count="10">
    <format dxfId="10">
      <pivotArea outline="0" collapsedLevelsAreSubtotals="1" fieldPosition="0"/>
    </format>
    <format dxfId="9">
      <pivotArea field="3" type="button" dataOnly="0" labelOnly="1" outline="0" axis="axisRow" fieldPosition="0"/>
    </format>
    <format dxfId="8">
      <pivotArea dataOnly="0" labelOnly="1" fieldPosition="0">
        <references count="1">
          <reference field="3" count="0"/>
        </references>
      </pivotArea>
    </format>
    <format dxfId="7">
      <pivotArea dataOnly="0" labelOnly="1" grandRow="1" outline="0" fieldPosition="0"/>
    </format>
    <format dxfId="6">
      <pivotArea dataOnly="0" labelOnly="1" fieldPosition="0">
        <references count="2">
          <reference field="1" count="5">
            <x v="2"/>
            <x v="3"/>
            <x v="8"/>
            <x v="12"/>
            <x v="13"/>
          </reference>
          <reference field="3" count="1" selected="0">
            <x v="0"/>
          </reference>
        </references>
      </pivotArea>
    </format>
    <format dxfId="5">
      <pivotArea dataOnly="0" labelOnly="1" fieldPosition="0">
        <references count="2">
          <reference field="1" count="7">
            <x v="1"/>
            <x v="4"/>
            <x v="5"/>
            <x v="6"/>
            <x v="9"/>
            <x v="15"/>
            <x v="16"/>
          </reference>
          <reference field="3" count="1" selected="0">
            <x v="1"/>
          </reference>
        </references>
      </pivotArea>
    </format>
    <format dxfId="4">
      <pivotArea dataOnly="0" labelOnly="1" fieldPosition="0">
        <references count="2">
          <reference field="1" count="5">
            <x v="0"/>
            <x v="7"/>
            <x v="10"/>
            <x v="11"/>
            <x v="14"/>
          </reference>
          <reference field="3" count="1" selected="0">
            <x v="2"/>
          </reference>
        </references>
      </pivotArea>
    </format>
    <format dxfId="3">
      <pivotArea dataOnly="0" labelOnly="1" fieldPosition="0">
        <references count="2">
          <reference field="1" count="1">
            <x v="17"/>
          </reference>
          <reference field="3" count="1" selected="0">
            <x v="3"/>
          </reference>
        </references>
      </pivotArea>
    </format>
    <format dxfId="2">
      <pivotArea dataOnly="0" labelOnly="1" fieldPosition="0">
        <references count="1">
          <reference field="5" count="0"/>
        </references>
      </pivotArea>
    </format>
    <format dxfId="1">
      <pivotArea dataOnly="0" labelOnly="1" grandCol="1" outline="0" fieldPosition="0"/>
    </format>
  </formats>
  <chartFormats count="8"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" connectionId="1" xr16:uid="{FB93EC2D-7AC6-43B7-8562-D4886687C593}" autoFormatId="16" applyNumberFormats="0" applyBorderFormats="0" applyFontFormats="0" applyPatternFormats="0" applyAlignmentFormats="0" applyWidthHeightFormats="0">
  <queryTableRefresh nextId="6">
    <queryTableFields count="5">
      <queryTableField id="1" name="Kur" tableColumnId="1"/>
      <queryTableField id="2" name="Alış" tableColumnId="2"/>
      <queryTableField id="3" name="Satış" tableColumnId="3"/>
      <queryTableField id="4" name="Günlük Değişim" tableColumnId="4"/>
      <queryTableField id="5" name="Değişim%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9AE9344-1622-4E76-B830-210F1AF095A0}" name="Table_0" displayName="Table_0" ref="A1:E7" tableType="queryTable" totalsRowShown="0">
  <autoFilter ref="A1:E7" xr:uid="{99AE9344-1622-4E76-B830-210F1AF095A0}"/>
  <tableColumns count="5">
    <tableColumn id="1" xr3:uid="{ED6106DD-5999-4F4A-9EDF-08D5321B1C7C}" uniqueName="1" name="Kur" queryTableFieldId="1" dataDxfId="0"/>
    <tableColumn id="2" xr3:uid="{3E4E4BBF-423F-4409-8C0D-4816A59D782B}" uniqueName="2" name="Alış" queryTableFieldId="2" dataDxfId="13"/>
    <tableColumn id="3" xr3:uid="{EAEA8AB4-0DCE-4B04-9A97-937512795BD2}" uniqueName="3" name="Satış" queryTableFieldId="3" dataDxfId="12" dataCellStyle="Virgül"/>
    <tableColumn id="4" xr3:uid="{25DE68DE-30C5-42CC-8D3D-C93F6BF423ED}" uniqueName="4" name="Günlük Değişim" queryTableFieldId="4" dataDxfId="11" dataCellStyle="Virgül"/>
    <tableColumn id="5" xr3:uid="{6BF40F1F-9BC3-456B-9ED5-4CB91BEDB8C3}" uniqueName="5" name="Değişim%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27D8-697A-4918-8F1C-EE87A509E1A3}">
  <sheetPr codeName="Sayfa1"/>
  <dimension ref="A1:E21"/>
  <sheetViews>
    <sheetView tabSelected="1" workbookViewId="0"/>
  </sheetViews>
  <sheetFormatPr defaultRowHeight="15" x14ac:dyDescent="0.25"/>
  <cols>
    <col min="1" max="1" width="11.85546875" bestFit="1" customWidth="1"/>
    <col min="2" max="2" width="15.42578125" style="39" bestFit="1" customWidth="1"/>
    <col min="3" max="3" width="14" bestFit="1" customWidth="1"/>
    <col min="4" max="4" width="12.5703125" customWidth="1"/>
    <col min="5" max="5" width="16.42578125" bestFit="1" customWidth="1"/>
  </cols>
  <sheetData>
    <row r="1" spans="1:5" ht="15.75" thickBot="1" x14ac:dyDescent="0.3">
      <c r="A1" s="13" t="s">
        <v>0</v>
      </c>
      <c r="B1" s="14" t="s">
        <v>30</v>
      </c>
      <c r="C1" s="14" t="s">
        <v>2</v>
      </c>
      <c r="D1" s="15" t="s">
        <v>27</v>
      </c>
      <c r="E1" s="91" t="s">
        <v>82</v>
      </c>
    </row>
    <row r="2" spans="1:5" x14ac:dyDescent="0.25">
      <c r="A2" s="16">
        <v>1995</v>
      </c>
      <c r="B2" s="43" t="s">
        <v>8</v>
      </c>
      <c r="C2" s="11" t="s">
        <v>59</v>
      </c>
      <c r="D2" s="12">
        <v>2500</v>
      </c>
      <c r="E2" s="92" t="s">
        <v>83</v>
      </c>
    </row>
    <row r="3" spans="1:5" x14ac:dyDescent="0.25">
      <c r="A3" s="17">
        <v>1996</v>
      </c>
      <c r="B3" s="44" t="s">
        <v>9</v>
      </c>
      <c r="C3" s="11" t="s">
        <v>59</v>
      </c>
      <c r="D3" s="8">
        <v>2350</v>
      </c>
      <c r="E3" s="92" t="s">
        <v>84</v>
      </c>
    </row>
    <row r="4" spans="1:5" x14ac:dyDescent="0.25">
      <c r="A4" s="17">
        <v>1997</v>
      </c>
      <c r="B4" s="44" t="s">
        <v>7</v>
      </c>
      <c r="C4" s="11" t="s">
        <v>59</v>
      </c>
      <c r="D4" s="8">
        <v>2100</v>
      </c>
      <c r="E4" s="92" t="s">
        <v>85</v>
      </c>
    </row>
    <row r="5" spans="1:5" x14ac:dyDescent="0.25">
      <c r="A5" s="17">
        <v>1998</v>
      </c>
      <c r="B5" s="44" t="s">
        <v>43</v>
      </c>
      <c r="C5" s="5" t="s">
        <v>6</v>
      </c>
      <c r="D5" s="8">
        <v>1078</v>
      </c>
      <c r="E5" s="92" t="s">
        <v>86</v>
      </c>
    </row>
    <row r="6" spans="1:5" x14ac:dyDescent="0.25">
      <c r="A6" s="17">
        <v>1999</v>
      </c>
      <c r="B6" s="44" t="s">
        <v>36</v>
      </c>
      <c r="C6" s="5" t="s">
        <v>6</v>
      </c>
      <c r="D6" s="8">
        <v>1669</v>
      </c>
      <c r="E6" s="92" t="s">
        <v>87</v>
      </c>
    </row>
    <row r="7" spans="1:5" x14ac:dyDescent="0.25">
      <c r="A7" s="17">
        <v>2000</v>
      </c>
      <c r="B7" s="44" t="s">
        <v>31</v>
      </c>
      <c r="C7" s="5" t="s">
        <v>6</v>
      </c>
      <c r="D7" s="8">
        <v>1220</v>
      </c>
      <c r="E7" s="92" t="s">
        <v>88</v>
      </c>
    </row>
    <row r="8" spans="1:5" x14ac:dyDescent="0.25">
      <c r="A8" s="17">
        <v>2001</v>
      </c>
      <c r="B8" s="44" t="s">
        <v>32</v>
      </c>
      <c r="C8" s="5" t="s">
        <v>6</v>
      </c>
      <c r="D8" s="8">
        <v>1078</v>
      </c>
      <c r="E8" s="92" t="s">
        <v>89</v>
      </c>
    </row>
    <row r="9" spans="1:5" x14ac:dyDescent="0.25">
      <c r="A9" s="17">
        <v>2002</v>
      </c>
      <c r="B9" s="44" t="s">
        <v>37</v>
      </c>
      <c r="C9" s="5" t="s">
        <v>6</v>
      </c>
      <c r="D9" s="8">
        <v>1596</v>
      </c>
      <c r="E9" s="92" t="s">
        <v>90</v>
      </c>
    </row>
    <row r="10" spans="1:5" x14ac:dyDescent="0.25">
      <c r="A10" s="17">
        <v>2003</v>
      </c>
      <c r="B10" s="44" t="s">
        <v>38</v>
      </c>
      <c r="C10" s="5" t="s">
        <v>6</v>
      </c>
      <c r="D10" s="8">
        <v>1481</v>
      </c>
      <c r="E10" s="92" t="s">
        <v>91</v>
      </c>
    </row>
    <row r="11" spans="1:5" x14ac:dyDescent="0.25">
      <c r="A11" s="17">
        <v>2004</v>
      </c>
      <c r="B11" s="44" t="s">
        <v>39</v>
      </c>
      <c r="C11" s="5" t="s">
        <v>6</v>
      </c>
      <c r="D11" s="8">
        <v>1455</v>
      </c>
      <c r="E11" s="92" t="s">
        <v>92</v>
      </c>
    </row>
    <row r="12" spans="1:5" x14ac:dyDescent="0.25">
      <c r="A12" s="17">
        <v>2005</v>
      </c>
      <c r="B12" s="44" t="s">
        <v>44</v>
      </c>
      <c r="C12" s="5" t="s">
        <v>6</v>
      </c>
      <c r="D12" s="8">
        <v>1497</v>
      </c>
      <c r="E12" s="92" t="s">
        <v>93</v>
      </c>
    </row>
    <row r="13" spans="1:5" x14ac:dyDescent="0.25">
      <c r="A13" s="17">
        <v>2006</v>
      </c>
      <c r="B13" s="44" t="s">
        <v>33</v>
      </c>
      <c r="C13" s="5" t="s">
        <v>6</v>
      </c>
      <c r="D13" s="8">
        <v>1642</v>
      </c>
      <c r="E13" s="92" t="s">
        <v>94</v>
      </c>
    </row>
    <row r="14" spans="1:5" x14ac:dyDescent="0.25">
      <c r="A14" s="17">
        <v>2007</v>
      </c>
      <c r="B14" s="44" t="s">
        <v>40</v>
      </c>
      <c r="C14" s="5" t="s">
        <v>6</v>
      </c>
      <c r="D14" s="8">
        <v>1416</v>
      </c>
      <c r="E14" s="92" t="s">
        <v>95</v>
      </c>
    </row>
    <row r="15" spans="1:5" x14ac:dyDescent="0.25">
      <c r="A15" s="17">
        <v>2008</v>
      </c>
      <c r="B15" s="44" t="s">
        <v>45</v>
      </c>
      <c r="C15" s="5" t="s">
        <v>6</v>
      </c>
      <c r="D15" s="8">
        <v>1460</v>
      </c>
      <c r="E15" s="92" t="s">
        <v>96</v>
      </c>
    </row>
    <row r="16" spans="1:5" x14ac:dyDescent="0.25">
      <c r="A16" s="17">
        <v>2009</v>
      </c>
      <c r="B16" s="44" t="s">
        <v>46</v>
      </c>
      <c r="C16" s="5" t="s">
        <v>6</v>
      </c>
      <c r="D16" s="8">
        <v>1488</v>
      </c>
      <c r="E16" s="92" t="s">
        <v>97</v>
      </c>
    </row>
    <row r="17" spans="1:5" x14ac:dyDescent="0.25">
      <c r="A17" s="17">
        <v>2010</v>
      </c>
      <c r="B17" s="44" t="s">
        <v>34</v>
      </c>
      <c r="C17" s="5" t="s">
        <v>6</v>
      </c>
      <c r="D17" s="8">
        <v>1643</v>
      </c>
      <c r="E17" s="92" t="s">
        <v>98</v>
      </c>
    </row>
    <row r="18" spans="1:5" x14ac:dyDescent="0.25">
      <c r="A18" s="17">
        <v>2011</v>
      </c>
      <c r="B18" s="44" t="s">
        <v>35</v>
      </c>
      <c r="C18" s="5" t="s">
        <v>6</v>
      </c>
      <c r="D18" s="8">
        <v>1036</v>
      </c>
      <c r="E18" s="92" t="s">
        <v>99</v>
      </c>
    </row>
    <row r="19" spans="1:5" x14ac:dyDescent="0.25">
      <c r="A19" s="17">
        <v>2012</v>
      </c>
      <c r="B19" s="44" t="s">
        <v>47</v>
      </c>
      <c r="C19" s="5" t="s">
        <v>6</v>
      </c>
      <c r="D19" s="8">
        <v>1264</v>
      </c>
      <c r="E19" s="92" t="s">
        <v>100</v>
      </c>
    </row>
    <row r="20" spans="1:5" x14ac:dyDescent="0.25">
      <c r="A20" s="17">
        <v>2013</v>
      </c>
      <c r="B20" s="44" t="s">
        <v>41</v>
      </c>
      <c r="C20" s="5" t="s">
        <v>6</v>
      </c>
      <c r="D20" s="8">
        <v>1596</v>
      </c>
      <c r="E20" s="92" t="s">
        <v>101</v>
      </c>
    </row>
    <row r="21" spans="1:5" ht="15.75" thickBot="1" x14ac:dyDescent="0.3">
      <c r="A21" s="18">
        <v>2014</v>
      </c>
      <c r="B21" s="45" t="s">
        <v>42</v>
      </c>
      <c r="C21" s="9" t="s">
        <v>6</v>
      </c>
      <c r="D21" s="10">
        <v>1169</v>
      </c>
      <c r="E21" s="93" t="s">
        <v>102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1D58A-63B1-4D9B-A137-F2F9B0150952}">
  <sheetPr codeName="Sayfa2"/>
  <dimension ref="A1:E18"/>
  <sheetViews>
    <sheetView workbookViewId="0">
      <selection activeCell="G10" sqref="G10"/>
    </sheetView>
  </sheetViews>
  <sheetFormatPr defaultRowHeight="15" x14ac:dyDescent="0.25"/>
  <cols>
    <col min="1" max="1" width="12.42578125" bestFit="1" customWidth="1"/>
    <col min="2" max="2" width="13.5703125" bestFit="1" customWidth="1"/>
    <col min="3" max="3" width="17.28515625" bestFit="1" customWidth="1"/>
    <col min="4" max="4" width="14.42578125" bestFit="1" customWidth="1"/>
    <col min="5" max="5" width="14" bestFit="1" customWidth="1"/>
  </cols>
  <sheetData>
    <row r="1" spans="1:5" ht="15.75" thickBot="1" x14ac:dyDescent="0.3">
      <c r="A1" s="26" t="s">
        <v>0</v>
      </c>
      <c r="B1" s="27" t="s">
        <v>30</v>
      </c>
      <c r="C1" s="27" t="s">
        <v>62</v>
      </c>
      <c r="D1" s="27" t="s">
        <v>1</v>
      </c>
      <c r="E1" s="28" t="s">
        <v>2</v>
      </c>
    </row>
    <row r="2" spans="1:5" ht="15.75" thickBot="1" x14ac:dyDescent="0.3">
      <c r="A2" s="29">
        <v>2000</v>
      </c>
      <c r="B2" s="20" t="str">
        <f>VLOOKUP(A:A,'Personel Listesi'!A:B,2,0)</f>
        <v>Melike Kara</v>
      </c>
      <c r="C2" s="21" t="s">
        <v>7</v>
      </c>
      <c r="D2" s="20" t="s">
        <v>5</v>
      </c>
      <c r="E2" s="22" t="s">
        <v>6</v>
      </c>
    </row>
    <row r="3" spans="1:5" ht="15.75" thickBot="1" x14ac:dyDescent="0.3">
      <c r="A3" s="17">
        <v>2001</v>
      </c>
      <c r="B3" s="20" t="str">
        <f>VLOOKUP(A:A,'Personel Listesi'!A:B,2,0)</f>
        <v>Emine Şimşek</v>
      </c>
      <c r="C3" s="19" t="s">
        <v>7</v>
      </c>
      <c r="D3" s="5" t="s">
        <v>5</v>
      </c>
      <c r="E3" s="23" t="s">
        <v>6</v>
      </c>
    </row>
    <row r="4" spans="1:5" ht="15.75" thickBot="1" x14ac:dyDescent="0.3">
      <c r="A4" s="17">
        <v>2006</v>
      </c>
      <c r="B4" s="20" t="str">
        <f>VLOOKUP(A:A,'Personel Listesi'!A:B,2,0)</f>
        <v>Fatih Güldüren</v>
      </c>
      <c r="C4" s="19" t="s">
        <v>7</v>
      </c>
      <c r="D4" s="5" t="s">
        <v>5</v>
      </c>
      <c r="E4" s="23" t="s">
        <v>6</v>
      </c>
    </row>
    <row r="5" spans="1:5" ht="15.75" thickBot="1" x14ac:dyDescent="0.3">
      <c r="A5" s="17">
        <v>2010</v>
      </c>
      <c r="B5" s="20" t="str">
        <f>VLOOKUP(A:A,'Personel Listesi'!A:B,2,0)</f>
        <v>Enver Toprak</v>
      </c>
      <c r="C5" s="19" t="s">
        <v>7</v>
      </c>
      <c r="D5" s="5" t="s">
        <v>5</v>
      </c>
      <c r="E5" s="23" t="s">
        <v>6</v>
      </c>
    </row>
    <row r="6" spans="1:5" ht="15.75" thickBot="1" x14ac:dyDescent="0.3">
      <c r="A6" s="18">
        <v>2011</v>
      </c>
      <c r="B6" s="20" t="str">
        <f>VLOOKUP(A:A,'Personel Listesi'!A:B,2,0)</f>
        <v>Recep Koca</v>
      </c>
      <c r="C6" s="24" t="s">
        <v>7</v>
      </c>
      <c r="D6" s="9" t="s">
        <v>5</v>
      </c>
      <c r="E6" s="25" t="s">
        <v>6</v>
      </c>
    </row>
    <row r="7" spans="1:5" ht="15.75" thickBot="1" x14ac:dyDescent="0.3">
      <c r="A7" s="29">
        <v>1999</v>
      </c>
      <c r="B7" s="20" t="str">
        <f>VLOOKUP(A:A,'Personel Listesi'!A:B,2,0)</f>
        <v>Gamze Öztürk</v>
      </c>
      <c r="C7" s="21" t="s">
        <v>8</v>
      </c>
      <c r="D7" s="20" t="s">
        <v>3</v>
      </c>
      <c r="E7" s="22" t="s">
        <v>6</v>
      </c>
    </row>
    <row r="8" spans="1:5" ht="15.75" thickBot="1" x14ac:dyDescent="0.3">
      <c r="A8" s="17">
        <v>2002</v>
      </c>
      <c r="B8" s="20" t="str">
        <f>VLOOKUP(A:A,'Personel Listesi'!A:B,2,0)</f>
        <v>Adem Yıldız</v>
      </c>
      <c r="C8" s="19" t="s">
        <v>8</v>
      </c>
      <c r="D8" s="5" t="s">
        <v>3</v>
      </c>
      <c r="E8" s="23" t="s">
        <v>6</v>
      </c>
    </row>
    <row r="9" spans="1:5" ht="15.75" thickBot="1" x14ac:dyDescent="0.3">
      <c r="A9" s="17">
        <v>2003</v>
      </c>
      <c r="B9" s="20" t="str">
        <f>VLOOKUP(A:A,'Personel Listesi'!A:B,2,0)</f>
        <v>İbrahim Vural</v>
      </c>
      <c r="C9" s="19" t="s">
        <v>8</v>
      </c>
      <c r="D9" s="5" t="s">
        <v>3</v>
      </c>
      <c r="E9" s="23" t="s">
        <v>6</v>
      </c>
    </row>
    <row r="10" spans="1:5" ht="15.75" thickBot="1" x14ac:dyDescent="0.3">
      <c r="A10" s="17">
        <v>2004</v>
      </c>
      <c r="B10" s="20" t="str">
        <f>VLOOKUP(A:A,'Personel Listesi'!A:B,2,0)</f>
        <v>Mehmet Sodacı</v>
      </c>
      <c r="C10" s="19" t="s">
        <v>8</v>
      </c>
      <c r="D10" s="5" t="s">
        <v>3</v>
      </c>
      <c r="E10" s="23" t="s">
        <v>6</v>
      </c>
    </row>
    <row r="11" spans="1:5" ht="15.75" thickBot="1" x14ac:dyDescent="0.3">
      <c r="A11" s="17">
        <v>2007</v>
      </c>
      <c r="B11" s="20" t="str">
        <f>VLOOKUP(A:A,'Personel Listesi'!A:B,2,0)</f>
        <v>Zeynep Yetişen</v>
      </c>
      <c r="C11" s="19" t="s">
        <v>8</v>
      </c>
      <c r="D11" s="5" t="s">
        <v>3</v>
      </c>
      <c r="E11" s="23" t="s">
        <v>6</v>
      </c>
    </row>
    <row r="12" spans="1:5" ht="15.75" thickBot="1" x14ac:dyDescent="0.3">
      <c r="A12" s="17">
        <v>2013</v>
      </c>
      <c r="B12" s="20" t="str">
        <f>VLOOKUP(A:A,'Personel Listesi'!A:B,2,0)</f>
        <v>Zeki Civan</v>
      </c>
      <c r="C12" s="19" t="s">
        <v>8</v>
      </c>
      <c r="D12" s="5" t="s">
        <v>3</v>
      </c>
      <c r="E12" s="23" t="s">
        <v>6</v>
      </c>
    </row>
    <row r="13" spans="1:5" ht="15.75" thickBot="1" x14ac:dyDescent="0.3">
      <c r="A13" s="18">
        <v>2014</v>
      </c>
      <c r="B13" s="20" t="str">
        <f>VLOOKUP(A:A,'Personel Listesi'!A:B,2,0)</f>
        <v>Gülsüm Çalışkan</v>
      </c>
      <c r="C13" s="24" t="s">
        <v>8</v>
      </c>
      <c r="D13" s="9" t="s">
        <v>3</v>
      </c>
      <c r="E13" s="25" t="s">
        <v>6</v>
      </c>
    </row>
    <row r="14" spans="1:5" ht="15.75" thickBot="1" x14ac:dyDescent="0.3">
      <c r="A14" s="29">
        <v>1998</v>
      </c>
      <c r="B14" s="20" t="str">
        <f>VLOOKUP(A:A,'Personel Listesi'!A:B,2,0)</f>
        <v>Ayşe Zengin</v>
      </c>
      <c r="C14" s="21" t="s">
        <v>9</v>
      </c>
      <c r="D14" s="20" t="s">
        <v>4</v>
      </c>
      <c r="E14" s="22" t="s">
        <v>6</v>
      </c>
    </row>
    <row r="15" spans="1:5" ht="15.75" thickBot="1" x14ac:dyDescent="0.3">
      <c r="A15" s="17">
        <v>2005</v>
      </c>
      <c r="B15" s="20" t="str">
        <f>VLOOKUP(A:A,'Personel Listesi'!A:B,2,0)</f>
        <v>Mete Özak</v>
      </c>
      <c r="C15" s="19" t="s">
        <v>9</v>
      </c>
      <c r="D15" s="5" t="s">
        <v>4</v>
      </c>
      <c r="E15" s="23" t="s">
        <v>6</v>
      </c>
    </row>
    <row r="16" spans="1:5" ht="15.75" thickBot="1" x14ac:dyDescent="0.3">
      <c r="A16" s="17">
        <v>2008</v>
      </c>
      <c r="B16" s="20" t="str">
        <f>VLOOKUP(A:A,'Personel Listesi'!A:B,2,0)</f>
        <v>Ediz Ekin</v>
      </c>
      <c r="C16" s="19" t="s">
        <v>9</v>
      </c>
      <c r="D16" s="5" t="s">
        <v>4</v>
      </c>
      <c r="E16" s="23" t="s">
        <v>6</v>
      </c>
    </row>
    <row r="17" spans="1:5" ht="15.75" thickBot="1" x14ac:dyDescent="0.3">
      <c r="A17" s="17">
        <v>2009</v>
      </c>
      <c r="B17" s="20" t="str">
        <f>VLOOKUP(A:A,'Personel Listesi'!A:B,2,0)</f>
        <v>Alper Çakır</v>
      </c>
      <c r="C17" s="19" t="s">
        <v>9</v>
      </c>
      <c r="D17" s="5" t="s">
        <v>4</v>
      </c>
      <c r="E17" s="23" t="s">
        <v>6</v>
      </c>
    </row>
    <row r="18" spans="1:5" ht="15.75" thickBot="1" x14ac:dyDescent="0.3">
      <c r="A18" s="18">
        <v>2012</v>
      </c>
      <c r="B18" s="27" t="str">
        <f>VLOOKUP(A:A,'Personel Listesi'!A:B,2,0)</f>
        <v>Murat Maden</v>
      </c>
      <c r="C18" s="24" t="s">
        <v>9</v>
      </c>
      <c r="D18" s="9" t="s">
        <v>4</v>
      </c>
      <c r="E18" s="25" t="s">
        <v>6</v>
      </c>
    </row>
  </sheetData>
  <autoFilter ref="A1:E1" xr:uid="{4621D58A-63B1-4D9B-A137-F2F9B0150952}">
    <sortState xmlns:xlrd2="http://schemas.microsoft.com/office/spreadsheetml/2017/richdata2" ref="A2:E18">
      <sortCondition ref="D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82A7B-6BB0-47FB-BFB8-B9A64FFB8C6A}">
  <sheetPr codeName="Sayfa3"/>
  <dimension ref="A1:C4"/>
  <sheetViews>
    <sheetView workbookViewId="0"/>
  </sheetViews>
  <sheetFormatPr defaultRowHeight="15" x14ac:dyDescent="0.25"/>
  <cols>
    <col min="1" max="1" width="12.42578125" bestFit="1" customWidth="1"/>
    <col min="2" max="2" width="14.7109375" bestFit="1" customWidth="1"/>
    <col min="3" max="3" width="12.42578125" bestFit="1" customWidth="1"/>
  </cols>
  <sheetData>
    <row r="1" spans="1:3" ht="15.75" thickBot="1" x14ac:dyDescent="0.3">
      <c r="A1" s="26" t="s">
        <v>10</v>
      </c>
      <c r="B1" s="27" t="s">
        <v>11</v>
      </c>
      <c r="C1" s="28" t="s">
        <v>12</v>
      </c>
    </row>
    <row r="2" spans="1:3" x14ac:dyDescent="0.25">
      <c r="A2" s="29">
        <v>1465</v>
      </c>
      <c r="B2" s="31" t="s">
        <v>107</v>
      </c>
      <c r="C2" s="32">
        <v>12</v>
      </c>
    </row>
    <row r="3" spans="1:3" x14ac:dyDescent="0.25">
      <c r="A3" s="17">
        <v>1246</v>
      </c>
      <c r="B3" s="30" t="s">
        <v>108</v>
      </c>
      <c r="C3" s="33">
        <v>20</v>
      </c>
    </row>
    <row r="4" spans="1:3" ht="15.75" thickBot="1" x14ac:dyDescent="0.3">
      <c r="A4" s="18">
        <v>1725</v>
      </c>
      <c r="B4" s="34" t="s">
        <v>109</v>
      </c>
      <c r="C4" s="35">
        <v>37</v>
      </c>
    </row>
  </sheetData>
  <autoFilter ref="A1:C1" xr:uid="{85382A7B-6BB0-47FB-BFB8-B9A64FFB8C6A}">
    <sortState xmlns:xlrd2="http://schemas.microsoft.com/office/spreadsheetml/2017/richdata2" ref="A2:C4">
      <sortCondition ref="C1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9A266-64CA-4019-BF36-11EDB9D8EC7C}">
  <sheetPr codeName="Sayfa6"/>
  <dimension ref="A1:I307"/>
  <sheetViews>
    <sheetView workbookViewId="0"/>
  </sheetViews>
  <sheetFormatPr defaultRowHeight="15" x14ac:dyDescent="0.25"/>
  <cols>
    <col min="1" max="1" width="11.42578125" bestFit="1" customWidth="1"/>
    <col min="2" max="2" width="10.140625" bestFit="1" customWidth="1"/>
    <col min="3" max="3" width="19.42578125" bestFit="1" customWidth="1"/>
    <col min="4" max="4" width="12.5703125" bestFit="1" customWidth="1"/>
    <col min="5" max="5" width="12.42578125" bestFit="1" customWidth="1"/>
    <col min="6" max="6" width="15.85546875" bestFit="1" customWidth="1"/>
    <col min="7" max="7" width="15.85546875" customWidth="1"/>
    <col min="9" max="9" width="11" bestFit="1" customWidth="1"/>
  </cols>
  <sheetData>
    <row r="1" spans="1:9" x14ac:dyDescent="0.25">
      <c r="A1" t="s">
        <v>15</v>
      </c>
      <c r="B1" t="s">
        <v>0</v>
      </c>
      <c r="C1" t="s">
        <v>29</v>
      </c>
      <c r="D1" t="s">
        <v>28</v>
      </c>
      <c r="E1" t="s">
        <v>10</v>
      </c>
      <c r="F1" t="s">
        <v>11</v>
      </c>
      <c r="G1" t="s">
        <v>22</v>
      </c>
      <c r="H1" t="s">
        <v>13</v>
      </c>
      <c r="I1" t="s">
        <v>14</v>
      </c>
    </row>
    <row r="2" spans="1:9" x14ac:dyDescent="0.25">
      <c r="A2" s="2" t="s">
        <v>16</v>
      </c>
      <c r="B2">
        <v>1998</v>
      </c>
      <c r="C2" t="str">
        <f>VLOOKUP(B:B,'İş Dağılımı'!A:B,2,0)</f>
        <v>Ayşe Zengin</v>
      </c>
      <c r="D2" t="str">
        <f>VLOOKUP(B:B,'İş Dağılımı'!A:C,3,0)</f>
        <v>Kadri Işık</v>
      </c>
      <c r="E2">
        <v>1465</v>
      </c>
      <c r="F2" t="str">
        <f>IFERROR(VLOOKUP(E:E,'Malzeme Listesi'!A:B,2,0),"")</f>
        <v>Şampuan</v>
      </c>
      <c r="G2" s="1">
        <f>VLOOKUP(E:E,'Malzeme Listesi'!A:C,3,0)</f>
        <v>12</v>
      </c>
      <c r="H2">
        <v>2</v>
      </c>
      <c r="I2" s="1">
        <f t="shared" ref="I2:I65" si="0">H2*G2</f>
        <v>24</v>
      </c>
    </row>
    <row r="3" spans="1:9" x14ac:dyDescent="0.25">
      <c r="A3" s="2" t="s">
        <v>16</v>
      </c>
      <c r="B3">
        <v>1998</v>
      </c>
      <c r="C3" t="str">
        <f>VLOOKUP(B:B,'İş Dağılımı'!A:B,2,0)</f>
        <v>Ayşe Zengin</v>
      </c>
      <c r="D3" t="str">
        <f>VLOOKUP(B:B,'İş Dağılımı'!A:C,3,0)</f>
        <v>Kadri Işık</v>
      </c>
      <c r="E3">
        <v>1246</v>
      </c>
      <c r="F3" t="str">
        <f>IFERROR(VLOOKUP(E:E,'Malzeme Listesi'!A:B,2,0),"")</f>
        <v>Parfüm</v>
      </c>
      <c r="G3" s="1">
        <f>VLOOKUP(E:E,'Malzeme Listesi'!A:C,3,0)</f>
        <v>20</v>
      </c>
      <c r="H3">
        <v>48</v>
      </c>
      <c r="I3" s="1">
        <f t="shared" si="0"/>
        <v>960</v>
      </c>
    </row>
    <row r="4" spans="1:9" x14ac:dyDescent="0.25">
      <c r="A4" s="2" t="s">
        <v>16</v>
      </c>
      <c r="B4">
        <v>1998</v>
      </c>
      <c r="C4" t="str">
        <f>VLOOKUP(B:B,'İş Dağılımı'!A:B,2,0)</f>
        <v>Ayşe Zengin</v>
      </c>
      <c r="D4" t="str">
        <f>VLOOKUP(B:B,'İş Dağılımı'!A:C,3,0)</f>
        <v>Kadri Işık</v>
      </c>
      <c r="E4">
        <v>1725</v>
      </c>
      <c r="F4" t="str">
        <f>IFERROR(VLOOKUP(E:E,'Malzeme Listesi'!A:B,2,0),"")</f>
        <v>Deodorant</v>
      </c>
      <c r="G4" s="1">
        <f>VLOOKUP(E:E,'Malzeme Listesi'!A:C,3,0)</f>
        <v>37</v>
      </c>
      <c r="H4">
        <v>40</v>
      </c>
      <c r="I4" s="1">
        <f t="shared" si="0"/>
        <v>1480</v>
      </c>
    </row>
    <row r="5" spans="1:9" x14ac:dyDescent="0.25">
      <c r="A5" s="2" t="s">
        <v>16</v>
      </c>
      <c r="B5">
        <v>1999</v>
      </c>
      <c r="C5" t="str">
        <f>VLOOKUP(B:B,'İş Dağılımı'!A:B,2,0)</f>
        <v>Gamze Öztürk</v>
      </c>
      <c r="D5" t="str">
        <f>VLOOKUP(B:B,'İş Dağılımı'!A:C,3,0)</f>
        <v>Engin Demir</v>
      </c>
      <c r="E5">
        <v>1465</v>
      </c>
      <c r="F5" t="str">
        <f>IFERROR(VLOOKUP(E:E,'Malzeme Listesi'!A:B,2,0),"")</f>
        <v>Şampuan</v>
      </c>
      <c r="G5" s="1">
        <f>VLOOKUP(E:E,'Malzeme Listesi'!A:C,3,0)</f>
        <v>12</v>
      </c>
      <c r="H5">
        <v>13</v>
      </c>
      <c r="I5" s="1">
        <f t="shared" si="0"/>
        <v>156</v>
      </c>
    </row>
    <row r="6" spans="1:9" x14ac:dyDescent="0.25">
      <c r="A6" s="2" t="s">
        <v>16</v>
      </c>
      <c r="B6">
        <v>1999</v>
      </c>
      <c r="C6" t="str">
        <f>VLOOKUP(B:B,'İş Dağılımı'!A:B,2,0)</f>
        <v>Gamze Öztürk</v>
      </c>
      <c r="D6" t="str">
        <f>VLOOKUP(B:B,'İş Dağılımı'!A:C,3,0)</f>
        <v>Engin Demir</v>
      </c>
      <c r="E6">
        <v>1246</v>
      </c>
      <c r="F6" t="str">
        <f>IFERROR(VLOOKUP(E:E,'Malzeme Listesi'!A:B,2,0),"")</f>
        <v>Parfüm</v>
      </c>
      <c r="G6" s="1">
        <f>VLOOKUP(E:E,'Malzeme Listesi'!A:C,3,0)</f>
        <v>20</v>
      </c>
      <c r="H6">
        <v>35</v>
      </c>
      <c r="I6" s="1">
        <f t="shared" si="0"/>
        <v>700</v>
      </c>
    </row>
    <row r="7" spans="1:9" x14ac:dyDescent="0.25">
      <c r="A7" s="2" t="s">
        <v>16</v>
      </c>
      <c r="B7">
        <v>1999</v>
      </c>
      <c r="C7" t="str">
        <f>VLOOKUP(B:B,'İş Dağılımı'!A:B,2,0)</f>
        <v>Gamze Öztürk</v>
      </c>
      <c r="D7" t="str">
        <f>VLOOKUP(B:B,'İş Dağılımı'!A:C,3,0)</f>
        <v>Engin Demir</v>
      </c>
      <c r="E7">
        <v>1725</v>
      </c>
      <c r="F7" t="str">
        <f>IFERROR(VLOOKUP(E:E,'Malzeme Listesi'!A:B,2,0),"")</f>
        <v>Deodorant</v>
      </c>
      <c r="G7" s="1">
        <f>VLOOKUP(E:E,'Malzeme Listesi'!A:C,3,0)</f>
        <v>37</v>
      </c>
      <c r="H7">
        <v>30</v>
      </c>
      <c r="I7" s="1">
        <f t="shared" si="0"/>
        <v>1110</v>
      </c>
    </row>
    <row r="8" spans="1:9" x14ac:dyDescent="0.25">
      <c r="A8" s="2" t="s">
        <v>16</v>
      </c>
      <c r="B8">
        <v>2000</v>
      </c>
      <c r="C8" t="str">
        <f>VLOOKUP(B:B,'İş Dağılımı'!A:B,2,0)</f>
        <v>Melike Kara</v>
      </c>
      <c r="D8" t="str">
        <f>VLOOKUP(B:B,'İş Dağılımı'!A:C,3,0)</f>
        <v>Aslı Balcı</v>
      </c>
      <c r="E8">
        <v>1465</v>
      </c>
      <c r="F8" t="str">
        <f>IFERROR(VLOOKUP(E:E,'Malzeme Listesi'!A:B,2,0),"")</f>
        <v>Şampuan</v>
      </c>
      <c r="G8" s="1">
        <f>VLOOKUP(E:E,'Malzeme Listesi'!A:C,3,0)</f>
        <v>12</v>
      </c>
      <c r="H8">
        <v>38</v>
      </c>
      <c r="I8" s="1">
        <f t="shared" si="0"/>
        <v>456</v>
      </c>
    </row>
    <row r="9" spans="1:9" x14ac:dyDescent="0.25">
      <c r="A9" s="2" t="s">
        <v>16</v>
      </c>
      <c r="B9">
        <v>2000</v>
      </c>
      <c r="C9" t="str">
        <f>VLOOKUP(B:B,'İş Dağılımı'!A:B,2,0)</f>
        <v>Melike Kara</v>
      </c>
      <c r="D9" t="str">
        <f>VLOOKUP(B:B,'İş Dağılımı'!A:C,3,0)</f>
        <v>Aslı Balcı</v>
      </c>
      <c r="E9">
        <v>1246</v>
      </c>
      <c r="F9" t="str">
        <f>IFERROR(VLOOKUP(E:E,'Malzeme Listesi'!A:B,2,0),"")</f>
        <v>Parfüm</v>
      </c>
      <c r="G9" s="1">
        <f>VLOOKUP(E:E,'Malzeme Listesi'!A:C,3,0)</f>
        <v>20</v>
      </c>
      <c r="H9">
        <v>28</v>
      </c>
      <c r="I9" s="1">
        <f t="shared" si="0"/>
        <v>560</v>
      </c>
    </row>
    <row r="10" spans="1:9" x14ac:dyDescent="0.25">
      <c r="A10" s="2" t="s">
        <v>16</v>
      </c>
      <c r="B10">
        <v>2000</v>
      </c>
      <c r="C10" t="str">
        <f>VLOOKUP(B:B,'İş Dağılımı'!A:B,2,0)</f>
        <v>Melike Kara</v>
      </c>
      <c r="D10" t="str">
        <f>VLOOKUP(B:B,'İş Dağılımı'!A:C,3,0)</f>
        <v>Aslı Balcı</v>
      </c>
      <c r="E10">
        <v>1725</v>
      </c>
      <c r="F10" t="str">
        <f>IFERROR(VLOOKUP(E:E,'Malzeme Listesi'!A:B,2,0),"")</f>
        <v>Deodorant</v>
      </c>
      <c r="G10" s="1">
        <f>VLOOKUP(E:E,'Malzeme Listesi'!A:C,3,0)</f>
        <v>37</v>
      </c>
      <c r="H10">
        <v>49</v>
      </c>
      <c r="I10" s="1">
        <f t="shared" si="0"/>
        <v>1813</v>
      </c>
    </row>
    <row r="11" spans="1:9" x14ac:dyDescent="0.25">
      <c r="A11" s="2" t="s">
        <v>16</v>
      </c>
      <c r="B11">
        <v>2001</v>
      </c>
      <c r="C11" t="str">
        <f>VLOOKUP(B:B,'İş Dağılımı'!A:B,2,0)</f>
        <v>Emine Şimşek</v>
      </c>
      <c r="D11" t="str">
        <f>VLOOKUP(B:B,'İş Dağılımı'!A:C,3,0)</f>
        <v>Aslı Balcı</v>
      </c>
      <c r="E11">
        <v>1465</v>
      </c>
      <c r="F11" t="str">
        <f>IFERROR(VLOOKUP(E:E,'Malzeme Listesi'!A:B,2,0),"")</f>
        <v>Şampuan</v>
      </c>
      <c r="G11" s="1">
        <f>VLOOKUP(E:E,'Malzeme Listesi'!A:C,3,0)</f>
        <v>12</v>
      </c>
      <c r="H11">
        <v>7</v>
      </c>
      <c r="I11" s="1">
        <f t="shared" si="0"/>
        <v>84</v>
      </c>
    </row>
    <row r="12" spans="1:9" x14ac:dyDescent="0.25">
      <c r="A12" s="2" t="s">
        <v>16</v>
      </c>
      <c r="B12">
        <v>2001</v>
      </c>
      <c r="C12" t="str">
        <f>VLOOKUP(B:B,'İş Dağılımı'!A:B,2,0)</f>
        <v>Emine Şimşek</v>
      </c>
      <c r="D12" t="str">
        <f>VLOOKUP(B:B,'İş Dağılımı'!A:C,3,0)</f>
        <v>Aslı Balcı</v>
      </c>
      <c r="E12">
        <v>1246</v>
      </c>
      <c r="F12" t="str">
        <f>IFERROR(VLOOKUP(E:E,'Malzeme Listesi'!A:B,2,0),"")</f>
        <v>Parfüm</v>
      </c>
      <c r="G12" s="1">
        <f>VLOOKUP(E:E,'Malzeme Listesi'!A:C,3,0)</f>
        <v>20</v>
      </c>
      <c r="H12">
        <v>10</v>
      </c>
      <c r="I12" s="1">
        <f t="shared" si="0"/>
        <v>200</v>
      </c>
    </row>
    <row r="13" spans="1:9" x14ac:dyDescent="0.25">
      <c r="A13" s="2" t="s">
        <v>16</v>
      </c>
      <c r="B13">
        <v>2001</v>
      </c>
      <c r="C13" t="str">
        <f>VLOOKUP(B:B,'İş Dağılımı'!A:B,2,0)</f>
        <v>Emine Şimşek</v>
      </c>
      <c r="D13" t="str">
        <f>VLOOKUP(B:B,'İş Dağılımı'!A:C,3,0)</f>
        <v>Aslı Balcı</v>
      </c>
      <c r="E13">
        <v>1725</v>
      </c>
      <c r="F13" t="str">
        <f>IFERROR(VLOOKUP(E:E,'Malzeme Listesi'!A:B,2,0),"")</f>
        <v>Deodorant</v>
      </c>
      <c r="G13" s="1">
        <f>VLOOKUP(E:E,'Malzeme Listesi'!A:C,3,0)</f>
        <v>37</v>
      </c>
      <c r="H13">
        <v>12</v>
      </c>
      <c r="I13" s="1">
        <f t="shared" si="0"/>
        <v>444</v>
      </c>
    </row>
    <row r="14" spans="1:9" x14ac:dyDescent="0.25">
      <c r="A14" s="2" t="s">
        <v>16</v>
      </c>
      <c r="B14">
        <v>2002</v>
      </c>
      <c r="C14" t="str">
        <f>VLOOKUP(B:B,'İş Dağılımı'!A:B,2,0)</f>
        <v>Adem Yıldız</v>
      </c>
      <c r="D14" t="str">
        <f>VLOOKUP(B:B,'İş Dağılımı'!A:C,3,0)</f>
        <v>Engin Demir</v>
      </c>
      <c r="E14">
        <v>1465</v>
      </c>
      <c r="F14" t="str">
        <f>IFERROR(VLOOKUP(E:E,'Malzeme Listesi'!A:B,2,0),"")</f>
        <v>Şampuan</v>
      </c>
      <c r="G14" s="1">
        <f>VLOOKUP(E:E,'Malzeme Listesi'!A:C,3,0)</f>
        <v>12</v>
      </c>
      <c r="H14">
        <v>31</v>
      </c>
      <c r="I14" s="1">
        <f t="shared" si="0"/>
        <v>372</v>
      </c>
    </row>
    <row r="15" spans="1:9" x14ac:dyDescent="0.25">
      <c r="A15" s="2" t="s">
        <v>16</v>
      </c>
      <c r="B15">
        <v>2002</v>
      </c>
      <c r="C15" t="str">
        <f>VLOOKUP(B:B,'İş Dağılımı'!A:B,2,0)</f>
        <v>Adem Yıldız</v>
      </c>
      <c r="D15" t="str">
        <f>VLOOKUP(B:B,'İş Dağılımı'!A:C,3,0)</f>
        <v>Engin Demir</v>
      </c>
      <c r="E15">
        <v>1246</v>
      </c>
      <c r="F15" t="str">
        <f>IFERROR(VLOOKUP(E:E,'Malzeme Listesi'!A:B,2,0),"")</f>
        <v>Parfüm</v>
      </c>
      <c r="G15" s="1">
        <f>VLOOKUP(E:E,'Malzeme Listesi'!A:C,3,0)</f>
        <v>20</v>
      </c>
      <c r="H15">
        <v>3</v>
      </c>
      <c r="I15" s="1">
        <f t="shared" si="0"/>
        <v>60</v>
      </c>
    </row>
    <row r="16" spans="1:9" x14ac:dyDescent="0.25">
      <c r="A16" s="2" t="s">
        <v>16</v>
      </c>
      <c r="B16">
        <v>2002</v>
      </c>
      <c r="C16" t="str">
        <f>VLOOKUP(B:B,'İş Dağılımı'!A:B,2,0)</f>
        <v>Adem Yıldız</v>
      </c>
      <c r="D16" t="str">
        <f>VLOOKUP(B:B,'İş Dağılımı'!A:C,3,0)</f>
        <v>Engin Demir</v>
      </c>
      <c r="E16">
        <v>1725</v>
      </c>
      <c r="F16" t="str">
        <f>IFERROR(VLOOKUP(E:E,'Malzeme Listesi'!A:B,2,0),"")</f>
        <v>Deodorant</v>
      </c>
      <c r="G16" s="1">
        <f>VLOOKUP(E:E,'Malzeme Listesi'!A:C,3,0)</f>
        <v>37</v>
      </c>
      <c r="H16">
        <v>10</v>
      </c>
      <c r="I16" s="1">
        <f t="shared" si="0"/>
        <v>370</v>
      </c>
    </row>
    <row r="17" spans="1:9" x14ac:dyDescent="0.25">
      <c r="A17" s="2" t="s">
        <v>16</v>
      </c>
      <c r="B17">
        <v>2003</v>
      </c>
      <c r="C17" t="str">
        <f>VLOOKUP(B:B,'İş Dağılımı'!A:B,2,0)</f>
        <v>İbrahim Vural</v>
      </c>
      <c r="D17" t="str">
        <f>VLOOKUP(B:B,'İş Dağılımı'!A:C,3,0)</f>
        <v>Engin Demir</v>
      </c>
      <c r="E17">
        <v>1465</v>
      </c>
      <c r="F17" t="str">
        <f>IFERROR(VLOOKUP(E:E,'Malzeme Listesi'!A:B,2,0),"")</f>
        <v>Şampuan</v>
      </c>
      <c r="G17" s="1">
        <f>VLOOKUP(E:E,'Malzeme Listesi'!A:C,3,0)</f>
        <v>12</v>
      </c>
      <c r="H17">
        <v>15</v>
      </c>
      <c r="I17" s="1">
        <f t="shared" si="0"/>
        <v>180</v>
      </c>
    </row>
    <row r="18" spans="1:9" x14ac:dyDescent="0.25">
      <c r="A18" s="2" t="s">
        <v>16</v>
      </c>
      <c r="B18">
        <v>2003</v>
      </c>
      <c r="C18" t="str">
        <f>VLOOKUP(B:B,'İş Dağılımı'!A:B,2,0)</f>
        <v>İbrahim Vural</v>
      </c>
      <c r="D18" t="str">
        <f>VLOOKUP(B:B,'İş Dağılımı'!A:C,3,0)</f>
        <v>Engin Demir</v>
      </c>
      <c r="E18">
        <v>1246</v>
      </c>
      <c r="F18" t="str">
        <f>IFERROR(VLOOKUP(E:E,'Malzeme Listesi'!A:B,2,0),"")</f>
        <v>Parfüm</v>
      </c>
      <c r="G18" s="1">
        <f>VLOOKUP(E:E,'Malzeme Listesi'!A:C,3,0)</f>
        <v>20</v>
      </c>
      <c r="H18">
        <v>10</v>
      </c>
      <c r="I18" s="1">
        <f t="shared" si="0"/>
        <v>200</v>
      </c>
    </row>
    <row r="19" spans="1:9" x14ac:dyDescent="0.25">
      <c r="A19" s="2" t="s">
        <v>16</v>
      </c>
      <c r="B19">
        <v>2003</v>
      </c>
      <c r="C19" t="str">
        <f>VLOOKUP(B:B,'İş Dağılımı'!A:B,2,0)</f>
        <v>İbrahim Vural</v>
      </c>
      <c r="D19" t="str">
        <f>VLOOKUP(B:B,'İş Dağılımı'!A:C,3,0)</f>
        <v>Engin Demir</v>
      </c>
      <c r="E19">
        <v>1725</v>
      </c>
      <c r="F19" t="str">
        <f>IFERROR(VLOOKUP(E:E,'Malzeme Listesi'!A:B,2,0),"")</f>
        <v>Deodorant</v>
      </c>
      <c r="G19" s="1">
        <f>VLOOKUP(E:E,'Malzeme Listesi'!A:C,3,0)</f>
        <v>37</v>
      </c>
      <c r="H19">
        <v>5</v>
      </c>
      <c r="I19" s="1">
        <f t="shared" si="0"/>
        <v>185</v>
      </c>
    </row>
    <row r="20" spans="1:9" x14ac:dyDescent="0.25">
      <c r="A20" s="2" t="s">
        <v>16</v>
      </c>
      <c r="B20">
        <v>2004</v>
      </c>
      <c r="C20" t="str">
        <f>VLOOKUP(B:B,'İş Dağılımı'!A:B,2,0)</f>
        <v>Mehmet Sodacı</v>
      </c>
      <c r="D20" t="str">
        <f>VLOOKUP(B:B,'İş Dağılımı'!A:C,3,0)</f>
        <v>Engin Demir</v>
      </c>
      <c r="E20">
        <v>1465</v>
      </c>
      <c r="F20" t="str">
        <f>IFERROR(VLOOKUP(E:E,'Malzeme Listesi'!A:B,2,0),"")</f>
        <v>Şampuan</v>
      </c>
      <c r="G20" s="1">
        <f>VLOOKUP(E:E,'Malzeme Listesi'!A:C,3,0)</f>
        <v>12</v>
      </c>
      <c r="H20">
        <v>0</v>
      </c>
      <c r="I20" s="1">
        <f t="shared" si="0"/>
        <v>0</v>
      </c>
    </row>
    <row r="21" spans="1:9" x14ac:dyDescent="0.25">
      <c r="A21" s="2" t="s">
        <v>16</v>
      </c>
      <c r="B21">
        <v>2004</v>
      </c>
      <c r="C21" t="str">
        <f>VLOOKUP(B:B,'İş Dağılımı'!A:B,2,0)</f>
        <v>Mehmet Sodacı</v>
      </c>
      <c r="D21" t="str">
        <f>VLOOKUP(B:B,'İş Dağılımı'!A:C,3,0)</f>
        <v>Engin Demir</v>
      </c>
      <c r="E21">
        <v>1246</v>
      </c>
      <c r="F21" t="str">
        <f>IFERROR(VLOOKUP(E:E,'Malzeme Listesi'!A:B,2,0),"")</f>
        <v>Parfüm</v>
      </c>
      <c r="G21" s="1">
        <f>VLOOKUP(E:E,'Malzeme Listesi'!A:C,3,0)</f>
        <v>20</v>
      </c>
      <c r="H21">
        <v>41</v>
      </c>
      <c r="I21" s="1">
        <f t="shared" si="0"/>
        <v>820</v>
      </c>
    </row>
    <row r="22" spans="1:9" x14ac:dyDescent="0.25">
      <c r="A22" s="2" t="s">
        <v>16</v>
      </c>
      <c r="B22">
        <v>2004</v>
      </c>
      <c r="C22" t="str">
        <f>VLOOKUP(B:B,'İş Dağılımı'!A:B,2,0)</f>
        <v>Mehmet Sodacı</v>
      </c>
      <c r="D22" t="str">
        <f>VLOOKUP(B:B,'İş Dağılımı'!A:C,3,0)</f>
        <v>Engin Demir</v>
      </c>
      <c r="E22">
        <v>1725</v>
      </c>
      <c r="F22" t="str">
        <f>IFERROR(VLOOKUP(E:E,'Malzeme Listesi'!A:B,2,0),"")</f>
        <v>Deodorant</v>
      </c>
      <c r="G22" s="1">
        <f>VLOOKUP(E:E,'Malzeme Listesi'!A:C,3,0)</f>
        <v>37</v>
      </c>
      <c r="H22">
        <v>37</v>
      </c>
      <c r="I22" s="1">
        <f t="shared" si="0"/>
        <v>1369</v>
      </c>
    </row>
    <row r="23" spans="1:9" x14ac:dyDescent="0.25">
      <c r="A23" s="2" t="s">
        <v>16</v>
      </c>
      <c r="B23">
        <v>2005</v>
      </c>
      <c r="C23" t="str">
        <f>VLOOKUP(B:B,'İş Dağılımı'!A:B,2,0)</f>
        <v>Mete Özak</v>
      </c>
      <c r="D23" t="str">
        <f>VLOOKUP(B:B,'İş Dağılımı'!A:C,3,0)</f>
        <v>Kadri Işık</v>
      </c>
      <c r="E23">
        <v>1465</v>
      </c>
      <c r="F23" t="str">
        <f>IFERROR(VLOOKUP(E:E,'Malzeme Listesi'!A:B,2,0),"")</f>
        <v>Şampuan</v>
      </c>
      <c r="G23" s="1">
        <f>VLOOKUP(E:E,'Malzeme Listesi'!A:C,3,0)</f>
        <v>12</v>
      </c>
      <c r="H23">
        <v>25</v>
      </c>
      <c r="I23" s="1">
        <f t="shared" si="0"/>
        <v>300</v>
      </c>
    </row>
    <row r="24" spans="1:9" x14ac:dyDescent="0.25">
      <c r="A24" s="2" t="s">
        <v>16</v>
      </c>
      <c r="B24">
        <v>2005</v>
      </c>
      <c r="C24" t="str">
        <f>VLOOKUP(B:B,'İş Dağılımı'!A:B,2,0)</f>
        <v>Mete Özak</v>
      </c>
      <c r="D24" t="str">
        <f>VLOOKUP(B:B,'İş Dağılımı'!A:C,3,0)</f>
        <v>Kadri Işık</v>
      </c>
      <c r="E24">
        <v>1246</v>
      </c>
      <c r="F24" t="str">
        <f>IFERROR(VLOOKUP(E:E,'Malzeme Listesi'!A:B,2,0),"")</f>
        <v>Parfüm</v>
      </c>
      <c r="G24" s="1">
        <f>VLOOKUP(E:E,'Malzeme Listesi'!A:C,3,0)</f>
        <v>20</v>
      </c>
      <c r="H24">
        <v>29</v>
      </c>
      <c r="I24" s="1">
        <f t="shared" si="0"/>
        <v>580</v>
      </c>
    </row>
    <row r="25" spans="1:9" x14ac:dyDescent="0.25">
      <c r="A25" s="2" t="s">
        <v>16</v>
      </c>
      <c r="B25">
        <v>2005</v>
      </c>
      <c r="C25" t="str">
        <f>VLOOKUP(B:B,'İş Dağılımı'!A:B,2,0)</f>
        <v>Mete Özak</v>
      </c>
      <c r="D25" t="str">
        <f>VLOOKUP(B:B,'İş Dağılımı'!A:C,3,0)</f>
        <v>Kadri Işık</v>
      </c>
      <c r="E25">
        <v>1725</v>
      </c>
      <c r="F25" t="str">
        <f>IFERROR(VLOOKUP(E:E,'Malzeme Listesi'!A:B,2,0),"")</f>
        <v>Deodorant</v>
      </c>
      <c r="G25" s="1">
        <f>VLOOKUP(E:E,'Malzeme Listesi'!A:C,3,0)</f>
        <v>37</v>
      </c>
      <c r="H25">
        <v>21</v>
      </c>
      <c r="I25" s="1">
        <f t="shared" si="0"/>
        <v>777</v>
      </c>
    </row>
    <row r="26" spans="1:9" x14ac:dyDescent="0.25">
      <c r="A26" s="2" t="s">
        <v>16</v>
      </c>
      <c r="B26">
        <v>2006</v>
      </c>
      <c r="C26" t="str">
        <f>VLOOKUP(B:B,'İş Dağılımı'!A:B,2,0)</f>
        <v>Fatih Güldüren</v>
      </c>
      <c r="D26" t="str">
        <f>VLOOKUP(B:B,'İş Dağılımı'!A:C,3,0)</f>
        <v>Aslı Balcı</v>
      </c>
      <c r="E26">
        <v>1465</v>
      </c>
      <c r="F26" t="str">
        <f>IFERROR(VLOOKUP(E:E,'Malzeme Listesi'!A:B,2,0),"")</f>
        <v>Şampuan</v>
      </c>
      <c r="G26" s="1">
        <f>VLOOKUP(E:E,'Malzeme Listesi'!A:C,3,0)</f>
        <v>12</v>
      </c>
      <c r="H26">
        <v>43</v>
      </c>
      <c r="I26" s="1">
        <f t="shared" si="0"/>
        <v>516</v>
      </c>
    </row>
    <row r="27" spans="1:9" x14ac:dyDescent="0.25">
      <c r="A27" s="2" t="s">
        <v>16</v>
      </c>
      <c r="B27">
        <v>2006</v>
      </c>
      <c r="C27" t="str">
        <f>VLOOKUP(B:B,'İş Dağılımı'!A:B,2,0)</f>
        <v>Fatih Güldüren</v>
      </c>
      <c r="D27" t="str">
        <f>VLOOKUP(B:B,'İş Dağılımı'!A:C,3,0)</f>
        <v>Aslı Balcı</v>
      </c>
      <c r="E27">
        <v>1246</v>
      </c>
      <c r="F27" t="str">
        <f>IFERROR(VLOOKUP(E:E,'Malzeme Listesi'!A:B,2,0),"")</f>
        <v>Parfüm</v>
      </c>
      <c r="G27" s="1">
        <f>VLOOKUP(E:E,'Malzeme Listesi'!A:C,3,0)</f>
        <v>20</v>
      </c>
      <c r="H27">
        <v>49</v>
      </c>
      <c r="I27" s="1">
        <f t="shared" si="0"/>
        <v>980</v>
      </c>
    </row>
    <row r="28" spans="1:9" x14ac:dyDescent="0.25">
      <c r="A28" s="2" t="s">
        <v>16</v>
      </c>
      <c r="B28">
        <v>2006</v>
      </c>
      <c r="C28" t="str">
        <f>VLOOKUP(B:B,'İş Dağılımı'!A:B,2,0)</f>
        <v>Fatih Güldüren</v>
      </c>
      <c r="D28" t="str">
        <f>VLOOKUP(B:B,'İş Dağılımı'!A:C,3,0)</f>
        <v>Aslı Balcı</v>
      </c>
      <c r="E28">
        <v>1725</v>
      </c>
      <c r="F28" t="str">
        <f>IFERROR(VLOOKUP(E:E,'Malzeme Listesi'!A:B,2,0),"")</f>
        <v>Deodorant</v>
      </c>
      <c r="G28" s="1">
        <f>VLOOKUP(E:E,'Malzeme Listesi'!A:C,3,0)</f>
        <v>37</v>
      </c>
      <c r="H28">
        <v>0</v>
      </c>
      <c r="I28" s="1">
        <f t="shared" si="0"/>
        <v>0</v>
      </c>
    </row>
    <row r="29" spans="1:9" x14ac:dyDescent="0.25">
      <c r="A29" s="2" t="s">
        <v>16</v>
      </c>
      <c r="B29">
        <v>2007</v>
      </c>
      <c r="C29" t="str">
        <f>VLOOKUP(B:B,'İş Dağılımı'!A:B,2,0)</f>
        <v>Zeynep Yetişen</v>
      </c>
      <c r="D29" t="str">
        <f>VLOOKUP(B:B,'İş Dağılımı'!A:C,3,0)</f>
        <v>Engin Demir</v>
      </c>
      <c r="E29">
        <v>1465</v>
      </c>
      <c r="F29" t="str">
        <f>IFERROR(VLOOKUP(E:E,'Malzeme Listesi'!A:B,2,0),"")</f>
        <v>Şampuan</v>
      </c>
      <c r="G29" s="1">
        <f>VLOOKUP(E:E,'Malzeme Listesi'!A:C,3,0)</f>
        <v>12</v>
      </c>
      <c r="H29">
        <v>5</v>
      </c>
      <c r="I29" s="1">
        <f t="shared" si="0"/>
        <v>60</v>
      </c>
    </row>
    <row r="30" spans="1:9" x14ac:dyDescent="0.25">
      <c r="A30" s="2" t="s">
        <v>16</v>
      </c>
      <c r="B30">
        <v>2007</v>
      </c>
      <c r="C30" t="str">
        <f>VLOOKUP(B:B,'İş Dağılımı'!A:B,2,0)</f>
        <v>Zeynep Yetişen</v>
      </c>
      <c r="D30" t="str">
        <f>VLOOKUP(B:B,'İş Dağılımı'!A:C,3,0)</f>
        <v>Engin Demir</v>
      </c>
      <c r="E30">
        <v>1246</v>
      </c>
      <c r="F30" t="str">
        <f>IFERROR(VLOOKUP(E:E,'Malzeme Listesi'!A:B,2,0),"")</f>
        <v>Parfüm</v>
      </c>
      <c r="G30" s="1">
        <f>VLOOKUP(E:E,'Malzeme Listesi'!A:C,3,0)</f>
        <v>20</v>
      </c>
      <c r="H30">
        <v>15</v>
      </c>
      <c r="I30" s="1">
        <f t="shared" si="0"/>
        <v>300</v>
      </c>
    </row>
    <row r="31" spans="1:9" x14ac:dyDescent="0.25">
      <c r="A31" s="2" t="s">
        <v>16</v>
      </c>
      <c r="B31">
        <v>2007</v>
      </c>
      <c r="C31" t="str">
        <f>VLOOKUP(B:B,'İş Dağılımı'!A:B,2,0)</f>
        <v>Zeynep Yetişen</v>
      </c>
      <c r="D31" t="str">
        <f>VLOOKUP(B:B,'İş Dağılımı'!A:C,3,0)</f>
        <v>Engin Demir</v>
      </c>
      <c r="E31">
        <v>1725</v>
      </c>
      <c r="F31" t="str">
        <f>IFERROR(VLOOKUP(E:E,'Malzeme Listesi'!A:B,2,0),"")</f>
        <v>Deodorant</v>
      </c>
      <c r="G31" s="1">
        <f>VLOOKUP(E:E,'Malzeme Listesi'!A:C,3,0)</f>
        <v>37</v>
      </c>
      <c r="H31">
        <v>20</v>
      </c>
      <c r="I31" s="1">
        <f t="shared" si="0"/>
        <v>740</v>
      </c>
    </row>
    <row r="32" spans="1:9" x14ac:dyDescent="0.25">
      <c r="A32" s="2" t="s">
        <v>16</v>
      </c>
      <c r="B32">
        <v>2008</v>
      </c>
      <c r="C32" t="str">
        <f>VLOOKUP(B:B,'İş Dağılımı'!A:B,2,0)</f>
        <v>Ediz Ekin</v>
      </c>
      <c r="D32" t="str">
        <f>VLOOKUP(B:B,'İş Dağılımı'!A:C,3,0)</f>
        <v>Kadri Işık</v>
      </c>
      <c r="E32">
        <v>1465</v>
      </c>
      <c r="F32" t="str">
        <f>IFERROR(VLOOKUP(E:E,'Malzeme Listesi'!A:B,2,0),"")</f>
        <v>Şampuan</v>
      </c>
      <c r="G32" s="1">
        <f>VLOOKUP(E:E,'Malzeme Listesi'!A:C,3,0)</f>
        <v>12</v>
      </c>
      <c r="H32">
        <v>39</v>
      </c>
      <c r="I32" s="1">
        <f t="shared" si="0"/>
        <v>468</v>
      </c>
    </row>
    <row r="33" spans="1:9" x14ac:dyDescent="0.25">
      <c r="A33" s="2" t="s">
        <v>16</v>
      </c>
      <c r="B33">
        <v>2008</v>
      </c>
      <c r="C33" t="str">
        <f>VLOOKUP(B:B,'İş Dağılımı'!A:B,2,0)</f>
        <v>Ediz Ekin</v>
      </c>
      <c r="D33" t="str">
        <f>VLOOKUP(B:B,'İş Dağılımı'!A:C,3,0)</f>
        <v>Kadri Işık</v>
      </c>
      <c r="E33">
        <v>1246</v>
      </c>
      <c r="F33" t="str">
        <f>IFERROR(VLOOKUP(E:E,'Malzeme Listesi'!A:B,2,0),"")</f>
        <v>Parfüm</v>
      </c>
      <c r="G33" s="1">
        <f>VLOOKUP(E:E,'Malzeme Listesi'!A:C,3,0)</f>
        <v>20</v>
      </c>
      <c r="H33">
        <v>41</v>
      </c>
      <c r="I33" s="1">
        <f t="shared" si="0"/>
        <v>820</v>
      </c>
    </row>
    <row r="34" spans="1:9" x14ac:dyDescent="0.25">
      <c r="A34" s="2" t="s">
        <v>16</v>
      </c>
      <c r="B34">
        <v>2008</v>
      </c>
      <c r="C34" t="str">
        <f>VLOOKUP(B:B,'İş Dağılımı'!A:B,2,0)</f>
        <v>Ediz Ekin</v>
      </c>
      <c r="D34" t="str">
        <f>VLOOKUP(B:B,'İş Dağılımı'!A:C,3,0)</f>
        <v>Kadri Işık</v>
      </c>
      <c r="E34">
        <v>1725</v>
      </c>
      <c r="F34" t="str">
        <f>IFERROR(VLOOKUP(E:E,'Malzeme Listesi'!A:B,2,0),"")</f>
        <v>Deodorant</v>
      </c>
      <c r="G34" s="1">
        <f>VLOOKUP(E:E,'Malzeme Listesi'!A:C,3,0)</f>
        <v>37</v>
      </c>
      <c r="H34">
        <v>36</v>
      </c>
      <c r="I34" s="1">
        <f t="shared" si="0"/>
        <v>1332</v>
      </c>
    </row>
    <row r="35" spans="1:9" x14ac:dyDescent="0.25">
      <c r="A35" s="2" t="s">
        <v>16</v>
      </c>
      <c r="B35">
        <v>2009</v>
      </c>
      <c r="C35" t="str">
        <f>VLOOKUP(B:B,'İş Dağılımı'!A:B,2,0)</f>
        <v>Alper Çakır</v>
      </c>
      <c r="D35" t="str">
        <f>VLOOKUP(B:B,'İş Dağılımı'!A:C,3,0)</f>
        <v>Kadri Işık</v>
      </c>
      <c r="E35">
        <v>1465</v>
      </c>
      <c r="F35" t="str">
        <f>IFERROR(VLOOKUP(E:E,'Malzeme Listesi'!A:B,2,0),"")</f>
        <v>Şampuan</v>
      </c>
      <c r="G35" s="1">
        <f>VLOOKUP(E:E,'Malzeme Listesi'!A:C,3,0)</f>
        <v>12</v>
      </c>
      <c r="H35">
        <v>12</v>
      </c>
      <c r="I35" s="1">
        <f t="shared" si="0"/>
        <v>144</v>
      </c>
    </row>
    <row r="36" spans="1:9" x14ac:dyDescent="0.25">
      <c r="A36" s="2" t="s">
        <v>16</v>
      </c>
      <c r="B36">
        <v>2009</v>
      </c>
      <c r="C36" t="str">
        <f>VLOOKUP(B:B,'İş Dağılımı'!A:B,2,0)</f>
        <v>Alper Çakır</v>
      </c>
      <c r="D36" t="str">
        <f>VLOOKUP(B:B,'İş Dağılımı'!A:C,3,0)</f>
        <v>Kadri Işık</v>
      </c>
      <c r="E36">
        <v>1246</v>
      </c>
      <c r="F36" t="str">
        <f>IFERROR(VLOOKUP(E:E,'Malzeme Listesi'!A:B,2,0),"")</f>
        <v>Parfüm</v>
      </c>
      <c r="G36" s="1">
        <f>VLOOKUP(E:E,'Malzeme Listesi'!A:C,3,0)</f>
        <v>20</v>
      </c>
      <c r="H36">
        <v>20</v>
      </c>
      <c r="I36" s="1">
        <f t="shared" si="0"/>
        <v>400</v>
      </c>
    </row>
    <row r="37" spans="1:9" x14ac:dyDescent="0.25">
      <c r="A37" s="2" t="s">
        <v>16</v>
      </c>
      <c r="B37">
        <v>2009</v>
      </c>
      <c r="C37" t="str">
        <f>VLOOKUP(B:B,'İş Dağılımı'!A:B,2,0)</f>
        <v>Alper Çakır</v>
      </c>
      <c r="D37" t="str">
        <f>VLOOKUP(B:B,'İş Dağılımı'!A:C,3,0)</f>
        <v>Kadri Işık</v>
      </c>
      <c r="E37">
        <v>1725</v>
      </c>
      <c r="F37" t="str">
        <f>IFERROR(VLOOKUP(E:E,'Malzeme Listesi'!A:B,2,0),"")</f>
        <v>Deodorant</v>
      </c>
      <c r="G37" s="1">
        <f>VLOOKUP(E:E,'Malzeme Listesi'!A:C,3,0)</f>
        <v>37</v>
      </c>
      <c r="H37">
        <v>42</v>
      </c>
      <c r="I37" s="1">
        <f t="shared" si="0"/>
        <v>1554</v>
      </c>
    </row>
    <row r="38" spans="1:9" x14ac:dyDescent="0.25">
      <c r="A38" s="2" t="s">
        <v>16</v>
      </c>
      <c r="B38">
        <v>2010</v>
      </c>
      <c r="C38" t="str">
        <f>VLOOKUP(B:B,'İş Dağılımı'!A:B,2,0)</f>
        <v>Enver Toprak</v>
      </c>
      <c r="D38" t="str">
        <f>VLOOKUP(B:B,'İş Dağılımı'!A:C,3,0)</f>
        <v>Aslı Balcı</v>
      </c>
      <c r="E38">
        <v>1465</v>
      </c>
      <c r="F38" t="str">
        <f>IFERROR(VLOOKUP(E:E,'Malzeme Listesi'!A:B,2,0),"")</f>
        <v>Şampuan</v>
      </c>
      <c r="G38" s="1">
        <f>VLOOKUP(E:E,'Malzeme Listesi'!A:C,3,0)</f>
        <v>12</v>
      </c>
      <c r="H38">
        <v>40</v>
      </c>
      <c r="I38" s="1">
        <f t="shared" si="0"/>
        <v>480</v>
      </c>
    </row>
    <row r="39" spans="1:9" x14ac:dyDescent="0.25">
      <c r="A39" s="2" t="s">
        <v>16</v>
      </c>
      <c r="B39">
        <v>2010</v>
      </c>
      <c r="C39" t="str">
        <f>VLOOKUP(B:B,'İş Dağılımı'!A:B,2,0)</f>
        <v>Enver Toprak</v>
      </c>
      <c r="D39" t="str">
        <f>VLOOKUP(B:B,'İş Dağılımı'!A:C,3,0)</f>
        <v>Aslı Balcı</v>
      </c>
      <c r="E39">
        <v>1246</v>
      </c>
      <c r="F39" t="str">
        <f>IFERROR(VLOOKUP(E:E,'Malzeme Listesi'!A:B,2,0),"")</f>
        <v>Parfüm</v>
      </c>
      <c r="G39" s="1">
        <f>VLOOKUP(E:E,'Malzeme Listesi'!A:C,3,0)</f>
        <v>20</v>
      </c>
      <c r="H39">
        <v>16</v>
      </c>
      <c r="I39" s="1">
        <f t="shared" si="0"/>
        <v>320</v>
      </c>
    </row>
    <row r="40" spans="1:9" x14ac:dyDescent="0.25">
      <c r="A40" s="2" t="s">
        <v>16</v>
      </c>
      <c r="B40">
        <v>2010</v>
      </c>
      <c r="C40" t="str">
        <f>VLOOKUP(B:B,'İş Dağılımı'!A:B,2,0)</f>
        <v>Enver Toprak</v>
      </c>
      <c r="D40" t="str">
        <f>VLOOKUP(B:B,'İş Dağılımı'!A:C,3,0)</f>
        <v>Aslı Balcı</v>
      </c>
      <c r="E40">
        <v>1725</v>
      </c>
      <c r="F40" t="str">
        <f>IFERROR(VLOOKUP(E:E,'Malzeme Listesi'!A:B,2,0),"")</f>
        <v>Deodorant</v>
      </c>
      <c r="G40" s="1">
        <f>VLOOKUP(E:E,'Malzeme Listesi'!A:C,3,0)</f>
        <v>37</v>
      </c>
      <c r="H40">
        <v>25</v>
      </c>
      <c r="I40" s="1">
        <f t="shared" si="0"/>
        <v>925</v>
      </c>
    </row>
    <row r="41" spans="1:9" x14ac:dyDescent="0.25">
      <c r="A41" s="2" t="s">
        <v>16</v>
      </c>
      <c r="B41">
        <v>2011</v>
      </c>
      <c r="C41" t="str">
        <f>VLOOKUP(B:B,'İş Dağılımı'!A:B,2,0)</f>
        <v>Recep Koca</v>
      </c>
      <c r="D41" t="str">
        <f>VLOOKUP(B:B,'İş Dağılımı'!A:C,3,0)</f>
        <v>Aslı Balcı</v>
      </c>
      <c r="E41">
        <v>1465</v>
      </c>
      <c r="F41" t="str">
        <f>IFERROR(VLOOKUP(E:E,'Malzeme Listesi'!A:B,2,0),"")</f>
        <v>Şampuan</v>
      </c>
      <c r="G41" s="1">
        <f>VLOOKUP(E:E,'Malzeme Listesi'!A:C,3,0)</f>
        <v>12</v>
      </c>
      <c r="H41">
        <v>5</v>
      </c>
      <c r="I41" s="1">
        <f t="shared" si="0"/>
        <v>60</v>
      </c>
    </row>
    <row r="42" spans="1:9" x14ac:dyDescent="0.25">
      <c r="A42" s="2" t="s">
        <v>16</v>
      </c>
      <c r="B42">
        <v>2011</v>
      </c>
      <c r="C42" t="str">
        <f>VLOOKUP(B:B,'İş Dağılımı'!A:B,2,0)</f>
        <v>Recep Koca</v>
      </c>
      <c r="D42" t="str">
        <f>VLOOKUP(B:B,'İş Dağılımı'!A:C,3,0)</f>
        <v>Aslı Balcı</v>
      </c>
      <c r="E42">
        <v>1246</v>
      </c>
      <c r="F42" t="str">
        <f>IFERROR(VLOOKUP(E:E,'Malzeme Listesi'!A:B,2,0),"")</f>
        <v>Parfüm</v>
      </c>
      <c r="G42" s="1">
        <f>VLOOKUP(E:E,'Malzeme Listesi'!A:C,3,0)</f>
        <v>20</v>
      </c>
      <c r="H42">
        <v>30</v>
      </c>
      <c r="I42" s="1">
        <f t="shared" si="0"/>
        <v>600</v>
      </c>
    </row>
    <row r="43" spans="1:9" x14ac:dyDescent="0.25">
      <c r="A43" s="2" t="s">
        <v>16</v>
      </c>
      <c r="B43">
        <v>2011</v>
      </c>
      <c r="C43" t="str">
        <f>VLOOKUP(B:B,'İş Dağılımı'!A:B,2,0)</f>
        <v>Recep Koca</v>
      </c>
      <c r="D43" t="str">
        <f>VLOOKUP(B:B,'İş Dağılımı'!A:C,3,0)</f>
        <v>Aslı Balcı</v>
      </c>
      <c r="E43">
        <v>1725</v>
      </c>
      <c r="F43" t="str">
        <f>IFERROR(VLOOKUP(E:E,'Malzeme Listesi'!A:B,2,0),"")</f>
        <v>Deodorant</v>
      </c>
      <c r="G43" s="1">
        <f>VLOOKUP(E:E,'Malzeme Listesi'!A:C,3,0)</f>
        <v>37</v>
      </c>
      <c r="H43">
        <v>38</v>
      </c>
      <c r="I43" s="1">
        <f t="shared" si="0"/>
        <v>1406</v>
      </c>
    </row>
    <row r="44" spans="1:9" x14ac:dyDescent="0.25">
      <c r="A44" s="2" t="s">
        <v>16</v>
      </c>
      <c r="B44">
        <v>2012</v>
      </c>
      <c r="C44" t="str">
        <f>VLOOKUP(B:B,'İş Dağılımı'!A:B,2,0)</f>
        <v>Murat Maden</v>
      </c>
      <c r="D44" t="str">
        <f>VLOOKUP(B:B,'İş Dağılımı'!A:C,3,0)</f>
        <v>Kadri Işık</v>
      </c>
      <c r="E44">
        <v>1465</v>
      </c>
      <c r="F44" t="str">
        <f>IFERROR(VLOOKUP(E:E,'Malzeme Listesi'!A:B,2,0),"")</f>
        <v>Şampuan</v>
      </c>
      <c r="G44" s="1">
        <f>VLOOKUP(E:E,'Malzeme Listesi'!A:C,3,0)</f>
        <v>12</v>
      </c>
      <c r="H44">
        <v>20</v>
      </c>
      <c r="I44" s="1">
        <f t="shared" si="0"/>
        <v>240</v>
      </c>
    </row>
    <row r="45" spans="1:9" x14ac:dyDescent="0.25">
      <c r="A45" s="2" t="s">
        <v>16</v>
      </c>
      <c r="B45">
        <v>2012</v>
      </c>
      <c r="C45" t="str">
        <f>VLOOKUP(B:B,'İş Dağılımı'!A:B,2,0)</f>
        <v>Murat Maden</v>
      </c>
      <c r="D45" t="str">
        <f>VLOOKUP(B:B,'İş Dağılımı'!A:C,3,0)</f>
        <v>Kadri Işık</v>
      </c>
      <c r="E45">
        <v>1246</v>
      </c>
      <c r="F45" t="str">
        <f>IFERROR(VLOOKUP(E:E,'Malzeme Listesi'!A:B,2,0),"")</f>
        <v>Parfüm</v>
      </c>
      <c r="G45" s="1">
        <f>VLOOKUP(E:E,'Malzeme Listesi'!A:C,3,0)</f>
        <v>20</v>
      </c>
      <c r="H45">
        <v>20</v>
      </c>
      <c r="I45" s="1">
        <f t="shared" si="0"/>
        <v>400</v>
      </c>
    </row>
    <row r="46" spans="1:9" x14ac:dyDescent="0.25">
      <c r="A46" s="2" t="s">
        <v>16</v>
      </c>
      <c r="B46">
        <v>2012</v>
      </c>
      <c r="C46" t="str">
        <f>VLOOKUP(B:B,'İş Dağılımı'!A:B,2,0)</f>
        <v>Murat Maden</v>
      </c>
      <c r="D46" t="str">
        <f>VLOOKUP(B:B,'İş Dağılımı'!A:C,3,0)</f>
        <v>Kadri Işık</v>
      </c>
      <c r="E46">
        <v>1725</v>
      </c>
      <c r="F46" t="str">
        <f>IFERROR(VLOOKUP(E:E,'Malzeme Listesi'!A:B,2,0),"")</f>
        <v>Deodorant</v>
      </c>
      <c r="G46" s="1">
        <f>VLOOKUP(E:E,'Malzeme Listesi'!A:C,3,0)</f>
        <v>37</v>
      </c>
      <c r="H46">
        <v>20</v>
      </c>
      <c r="I46" s="1">
        <f t="shared" si="0"/>
        <v>740</v>
      </c>
    </row>
    <row r="47" spans="1:9" x14ac:dyDescent="0.25">
      <c r="A47" s="2" t="s">
        <v>16</v>
      </c>
      <c r="B47">
        <v>2013</v>
      </c>
      <c r="C47" t="str">
        <f>VLOOKUP(B:B,'İş Dağılımı'!A:B,2,0)</f>
        <v>Zeki Civan</v>
      </c>
      <c r="D47" t="str">
        <f>VLOOKUP(B:B,'İş Dağılımı'!A:C,3,0)</f>
        <v>Engin Demir</v>
      </c>
      <c r="E47">
        <v>1465</v>
      </c>
      <c r="F47" t="str">
        <f>IFERROR(VLOOKUP(E:E,'Malzeme Listesi'!A:B,2,0),"")</f>
        <v>Şampuan</v>
      </c>
      <c r="G47" s="1">
        <f>VLOOKUP(E:E,'Malzeme Listesi'!A:C,3,0)</f>
        <v>12</v>
      </c>
      <c r="H47">
        <v>35</v>
      </c>
      <c r="I47" s="1">
        <f t="shared" si="0"/>
        <v>420</v>
      </c>
    </row>
    <row r="48" spans="1:9" x14ac:dyDescent="0.25">
      <c r="A48" s="2" t="s">
        <v>16</v>
      </c>
      <c r="B48">
        <v>2013</v>
      </c>
      <c r="C48" t="str">
        <f>VLOOKUP(B:B,'İş Dağılımı'!A:B,2,0)</f>
        <v>Zeki Civan</v>
      </c>
      <c r="D48" t="str">
        <f>VLOOKUP(B:B,'İş Dağılımı'!A:C,3,0)</f>
        <v>Engin Demir</v>
      </c>
      <c r="E48">
        <v>1246</v>
      </c>
      <c r="F48" t="str">
        <f>IFERROR(VLOOKUP(E:E,'Malzeme Listesi'!A:B,2,0),"")</f>
        <v>Parfüm</v>
      </c>
      <c r="G48" s="1">
        <f>VLOOKUP(E:E,'Malzeme Listesi'!A:C,3,0)</f>
        <v>20</v>
      </c>
      <c r="H48">
        <v>28</v>
      </c>
      <c r="I48" s="1">
        <f t="shared" si="0"/>
        <v>560</v>
      </c>
    </row>
    <row r="49" spans="1:9" x14ac:dyDescent="0.25">
      <c r="A49" s="2" t="s">
        <v>16</v>
      </c>
      <c r="B49">
        <v>2013</v>
      </c>
      <c r="C49" t="str">
        <f>VLOOKUP(B:B,'İş Dağılımı'!A:B,2,0)</f>
        <v>Zeki Civan</v>
      </c>
      <c r="D49" t="str">
        <f>VLOOKUP(B:B,'İş Dağılımı'!A:C,3,0)</f>
        <v>Engin Demir</v>
      </c>
      <c r="E49">
        <v>1725</v>
      </c>
      <c r="F49" t="str">
        <f>IFERROR(VLOOKUP(E:E,'Malzeme Listesi'!A:B,2,0),"")</f>
        <v>Deodorant</v>
      </c>
      <c r="G49" s="1">
        <f>VLOOKUP(E:E,'Malzeme Listesi'!A:C,3,0)</f>
        <v>37</v>
      </c>
      <c r="H49">
        <v>29</v>
      </c>
      <c r="I49" s="1">
        <f t="shared" si="0"/>
        <v>1073</v>
      </c>
    </row>
    <row r="50" spans="1:9" x14ac:dyDescent="0.25">
      <c r="A50" s="2" t="s">
        <v>16</v>
      </c>
      <c r="B50">
        <v>2014</v>
      </c>
      <c r="C50" t="str">
        <f>VLOOKUP(B:B,'İş Dağılımı'!A:B,2,0)</f>
        <v>Gülsüm Çalışkan</v>
      </c>
      <c r="D50" t="str">
        <f>VLOOKUP(B:B,'İş Dağılımı'!A:C,3,0)</f>
        <v>Engin Demir</v>
      </c>
      <c r="E50">
        <v>1465</v>
      </c>
      <c r="F50" t="str">
        <f>IFERROR(VLOOKUP(E:E,'Malzeme Listesi'!A:B,2,0),"")</f>
        <v>Şampuan</v>
      </c>
      <c r="G50" s="1">
        <f>VLOOKUP(E:E,'Malzeme Listesi'!A:C,3,0)</f>
        <v>12</v>
      </c>
      <c r="H50">
        <v>12</v>
      </c>
      <c r="I50" s="1">
        <f t="shared" si="0"/>
        <v>144</v>
      </c>
    </row>
    <row r="51" spans="1:9" x14ac:dyDescent="0.25">
      <c r="A51" s="2" t="s">
        <v>16</v>
      </c>
      <c r="B51">
        <v>2014</v>
      </c>
      <c r="C51" t="str">
        <f>VLOOKUP(B:B,'İş Dağılımı'!A:B,2,0)</f>
        <v>Gülsüm Çalışkan</v>
      </c>
      <c r="D51" t="str">
        <f>VLOOKUP(B:B,'İş Dağılımı'!A:C,3,0)</f>
        <v>Engin Demir</v>
      </c>
      <c r="E51">
        <v>1246</v>
      </c>
      <c r="F51" t="str">
        <f>IFERROR(VLOOKUP(E:E,'Malzeme Listesi'!A:B,2,0),"")</f>
        <v>Parfüm</v>
      </c>
      <c r="G51" s="1">
        <f>VLOOKUP(E:E,'Malzeme Listesi'!A:C,3,0)</f>
        <v>20</v>
      </c>
      <c r="H51">
        <v>39</v>
      </c>
      <c r="I51" s="1">
        <f t="shared" si="0"/>
        <v>780</v>
      </c>
    </row>
    <row r="52" spans="1:9" x14ac:dyDescent="0.25">
      <c r="A52" s="2" t="s">
        <v>16</v>
      </c>
      <c r="B52">
        <v>2014</v>
      </c>
      <c r="C52" t="str">
        <f>VLOOKUP(B:B,'İş Dağılımı'!A:B,2,0)</f>
        <v>Gülsüm Çalışkan</v>
      </c>
      <c r="D52" t="str">
        <f>VLOOKUP(B:B,'İş Dağılımı'!A:C,3,0)</f>
        <v>Engin Demir</v>
      </c>
      <c r="E52">
        <v>1725</v>
      </c>
      <c r="F52" t="str">
        <f>IFERROR(VLOOKUP(E:E,'Malzeme Listesi'!A:B,2,0),"")</f>
        <v>Deodorant</v>
      </c>
      <c r="G52" s="1">
        <f>VLOOKUP(E:E,'Malzeme Listesi'!A:C,3,0)</f>
        <v>37</v>
      </c>
      <c r="H52">
        <v>22</v>
      </c>
      <c r="I52" s="1">
        <f t="shared" si="0"/>
        <v>814</v>
      </c>
    </row>
    <row r="53" spans="1:9" x14ac:dyDescent="0.25">
      <c r="A53" s="2" t="s">
        <v>17</v>
      </c>
      <c r="B53">
        <v>1998</v>
      </c>
      <c r="C53" t="str">
        <f>VLOOKUP(B:B,'İş Dağılımı'!A:B,2,0)</f>
        <v>Ayşe Zengin</v>
      </c>
      <c r="D53" t="str">
        <f>VLOOKUP(B:B,'İş Dağılımı'!A:C,3,0)</f>
        <v>Kadri Işık</v>
      </c>
      <c r="E53">
        <v>1465</v>
      </c>
      <c r="F53" t="str">
        <f>IFERROR(VLOOKUP(E:E,'Malzeme Listesi'!A:B,2,0),"")</f>
        <v>Şampuan</v>
      </c>
      <c r="G53" s="1">
        <f>VLOOKUP(E:E,'Malzeme Listesi'!A:C,3,0)</f>
        <v>12</v>
      </c>
      <c r="H53">
        <v>50</v>
      </c>
      <c r="I53" s="1">
        <f t="shared" si="0"/>
        <v>600</v>
      </c>
    </row>
    <row r="54" spans="1:9" x14ac:dyDescent="0.25">
      <c r="A54" s="2" t="s">
        <v>17</v>
      </c>
      <c r="B54">
        <v>1998</v>
      </c>
      <c r="C54" t="str">
        <f>VLOOKUP(B:B,'İş Dağılımı'!A:B,2,0)</f>
        <v>Ayşe Zengin</v>
      </c>
      <c r="D54" t="str">
        <f>VLOOKUP(B:B,'İş Dağılımı'!A:C,3,0)</f>
        <v>Kadri Işık</v>
      </c>
      <c r="E54">
        <v>1246</v>
      </c>
      <c r="F54" t="str">
        <f>IFERROR(VLOOKUP(E:E,'Malzeme Listesi'!A:B,2,0),"")</f>
        <v>Parfüm</v>
      </c>
      <c r="G54" s="1">
        <f>VLOOKUP(E:E,'Malzeme Listesi'!A:C,3,0)</f>
        <v>20</v>
      </c>
      <c r="H54">
        <v>36</v>
      </c>
      <c r="I54" s="1">
        <f t="shared" si="0"/>
        <v>720</v>
      </c>
    </row>
    <row r="55" spans="1:9" x14ac:dyDescent="0.25">
      <c r="A55" s="2" t="s">
        <v>17</v>
      </c>
      <c r="B55">
        <v>1998</v>
      </c>
      <c r="C55" t="str">
        <f>VLOOKUP(B:B,'İş Dağılımı'!A:B,2,0)</f>
        <v>Ayşe Zengin</v>
      </c>
      <c r="D55" t="str">
        <f>VLOOKUP(B:B,'İş Dağılımı'!A:C,3,0)</f>
        <v>Kadri Işık</v>
      </c>
      <c r="E55">
        <v>1725</v>
      </c>
      <c r="F55" t="str">
        <f>IFERROR(VLOOKUP(E:E,'Malzeme Listesi'!A:B,2,0),"")</f>
        <v>Deodorant</v>
      </c>
      <c r="G55" s="1">
        <f>VLOOKUP(E:E,'Malzeme Listesi'!A:C,3,0)</f>
        <v>37</v>
      </c>
      <c r="H55">
        <v>4</v>
      </c>
      <c r="I55" s="1">
        <f t="shared" si="0"/>
        <v>148</v>
      </c>
    </row>
    <row r="56" spans="1:9" x14ac:dyDescent="0.25">
      <c r="A56" s="2" t="s">
        <v>17</v>
      </c>
      <c r="B56">
        <v>1999</v>
      </c>
      <c r="C56" t="str">
        <f>VLOOKUP(B:B,'İş Dağılımı'!A:B,2,0)</f>
        <v>Gamze Öztürk</v>
      </c>
      <c r="D56" t="str">
        <f>VLOOKUP(B:B,'İş Dağılımı'!A:C,3,0)</f>
        <v>Engin Demir</v>
      </c>
      <c r="E56">
        <v>1465</v>
      </c>
      <c r="F56" t="str">
        <f>IFERROR(VLOOKUP(E:E,'Malzeme Listesi'!A:B,2,0),"")</f>
        <v>Şampuan</v>
      </c>
      <c r="G56" s="1">
        <f>VLOOKUP(E:E,'Malzeme Listesi'!A:C,3,0)</f>
        <v>12</v>
      </c>
      <c r="H56">
        <v>18</v>
      </c>
      <c r="I56" s="1">
        <f t="shared" si="0"/>
        <v>216</v>
      </c>
    </row>
    <row r="57" spans="1:9" x14ac:dyDescent="0.25">
      <c r="A57" s="2" t="s">
        <v>17</v>
      </c>
      <c r="B57">
        <v>1999</v>
      </c>
      <c r="C57" t="str">
        <f>VLOOKUP(B:B,'İş Dağılımı'!A:B,2,0)</f>
        <v>Gamze Öztürk</v>
      </c>
      <c r="D57" t="str">
        <f>VLOOKUP(B:B,'İş Dağılımı'!A:C,3,0)</f>
        <v>Engin Demir</v>
      </c>
      <c r="E57">
        <v>1246</v>
      </c>
      <c r="F57" t="str">
        <f>IFERROR(VLOOKUP(E:E,'Malzeme Listesi'!A:B,2,0),"")</f>
        <v>Parfüm</v>
      </c>
      <c r="G57" s="1">
        <f>VLOOKUP(E:E,'Malzeme Listesi'!A:C,3,0)</f>
        <v>20</v>
      </c>
      <c r="H57">
        <v>36</v>
      </c>
      <c r="I57" s="1">
        <f t="shared" si="0"/>
        <v>720</v>
      </c>
    </row>
    <row r="58" spans="1:9" x14ac:dyDescent="0.25">
      <c r="A58" s="2" t="s">
        <v>17</v>
      </c>
      <c r="B58">
        <v>1999</v>
      </c>
      <c r="C58" t="str">
        <f>VLOOKUP(B:B,'İş Dağılımı'!A:B,2,0)</f>
        <v>Gamze Öztürk</v>
      </c>
      <c r="D58" t="str">
        <f>VLOOKUP(B:B,'İş Dağılımı'!A:C,3,0)</f>
        <v>Engin Demir</v>
      </c>
      <c r="E58">
        <v>1725</v>
      </c>
      <c r="F58" t="str">
        <f>IFERROR(VLOOKUP(E:E,'Malzeme Listesi'!A:B,2,0),"")</f>
        <v>Deodorant</v>
      </c>
      <c r="G58" s="1">
        <f>VLOOKUP(E:E,'Malzeme Listesi'!A:C,3,0)</f>
        <v>37</v>
      </c>
      <c r="H58">
        <v>38</v>
      </c>
      <c r="I58" s="1">
        <f t="shared" si="0"/>
        <v>1406</v>
      </c>
    </row>
    <row r="59" spans="1:9" x14ac:dyDescent="0.25">
      <c r="A59" s="2" t="s">
        <v>17</v>
      </c>
      <c r="B59">
        <v>2000</v>
      </c>
      <c r="C59" t="str">
        <f>VLOOKUP(B:B,'İş Dağılımı'!A:B,2,0)</f>
        <v>Melike Kara</v>
      </c>
      <c r="D59" t="str">
        <f>VLOOKUP(B:B,'İş Dağılımı'!A:C,3,0)</f>
        <v>Aslı Balcı</v>
      </c>
      <c r="E59">
        <v>1465</v>
      </c>
      <c r="F59" t="str">
        <f>IFERROR(VLOOKUP(E:E,'Malzeme Listesi'!A:B,2,0),"")</f>
        <v>Şampuan</v>
      </c>
      <c r="G59" s="1">
        <f>VLOOKUP(E:E,'Malzeme Listesi'!A:C,3,0)</f>
        <v>12</v>
      </c>
      <c r="H59">
        <v>31</v>
      </c>
      <c r="I59" s="1">
        <f t="shared" si="0"/>
        <v>372</v>
      </c>
    </row>
    <row r="60" spans="1:9" x14ac:dyDescent="0.25">
      <c r="A60" s="2" t="s">
        <v>17</v>
      </c>
      <c r="B60">
        <v>2000</v>
      </c>
      <c r="C60" t="str">
        <f>VLOOKUP(B:B,'İş Dağılımı'!A:B,2,0)</f>
        <v>Melike Kara</v>
      </c>
      <c r="D60" t="str">
        <f>VLOOKUP(B:B,'İş Dağılımı'!A:C,3,0)</f>
        <v>Aslı Balcı</v>
      </c>
      <c r="E60">
        <v>1246</v>
      </c>
      <c r="F60" t="str">
        <f>IFERROR(VLOOKUP(E:E,'Malzeme Listesi'!A:B,2,0),"")</f>
        <v>Parfüm</v>
      </c>
      <c r="G60" s="1">
        <f>VLOOKUP(E:E,'Malzeme Listesi'!A:C,3,0)</f>
        <v>20</v>
      </c>
      <c r="H60">
        <v>44</v>
      </c>
      <c r="I60" s="1">
        <f t="shared" si="0"/>
        <v>880</v>
      </c>
    </row>
    <row r="61" spans="1:9" x14ac:dyDescent="0.25">
      <c r="A61" s="2" t="s">
        <v>17</v>
      </c>
      <c r="B61">
        <v>2000</v>
      </c>
      <c r="C61" t="str">
        <f>VLOOKUP(B:B,'İş Dağılımı'!A:B,2,0)</f>
        <v>Melike Kara</v>
      </c>
      <c r="D61" t="str">
        <f>VLOOKUP(B:B,'İş Dağılımı'!A:C,3,0)</f>
        <v>Aslı Balcı</v>
      </c>
      <c r="E61">
        <v>1725</v>
      </c>
      <c r="F61" t="str">
        <f>IFERROR(VLOOKUP(E:E,'Malzeme Listesi'!A:B,2,0),"")</f>
        <v>Deodorant</v>
      </c>
      <c r="G61" s="1">
        <f>VLOOKUP(E:E,'Malzeme Listesi'!A:C,3,0)</f>
        <v>37</v>
      </c>
      <c r="H61">
        <v>21</v>
      </c>
      <c r="I61" s="1">
        <f t="shared" si="0"/>
        <v>777</v>
      </c>
    </row>
    <row r="62" spans="1:9" x14ac:dyDescent="0.25">
      <c r="A62" s="2" t="s">
        <v>17</v>
      </c>
      <c r="B62">
        <v>2001</v>
      </c>
      <c r="C62" t="str">
        <f>VLOOKUP(B:B,'İş Dağılımı'!A:B,2,0)</f>
        <v>Emine Şimşek</v>
      </c>
      <c r="D62" t="str">
        <f>VLOOKUP(B:B,'İş Dağılımı'!A:C,3,0)</f>
        <v>Aslı Balcı</v>
      </c>
      <c r="E62">
        <v>1465</v>
      </c>
      <c r="F62" t="str">
        <f>IFERROR(VLOOKUP(E:E,'Malzeme Listesi'!A:B,2,0),"")</f>
        <v>Şampuan</v>
      </c>
      <c r="G62" s="1">
        <f>VLOOKUP(E:E,'Malzeme Listesi'!A:C,3,0)</f>
        <v>12</v>
      </c>
      <c r="H62">
        <v>21</v>
      </c>
      <c r="I62" s="1">
        <f t="shared" si="0"/>
        <v>252</v>
      </c>
    </row>
    <row r="63" spans="1:9" x14ac:dyDescent="0.25">
      <c r="A63" s="2" t="s">
        <v>17</v>
      </c>
      <c r="B63">
        <v>2001</v>
      </c>
      <c r="C63" t="str">
        <f>VLOOKUP(B:B,'İş Dağılımı'!A:B,2,0)</f>
        <v>Emine Şimşek</v>
      </c>
      <c r="D63" t="str">
        <f>VLOOKUP(B:B,'İş Dağılımı'!A:C,3,0)</f>
        <v>Aslı Balcı</v>
      </c>
      <c r="E63">
        <v>1246</v>
      </c>
      <c r="F63" t="str">
        <f>IFERROR(VLOOKUP(E:E,'Malzeme Listesi'!A:B,2,0),"")</f>
        <v>Parfüm</v>
      </c>
      <c r="G63" s="1">
        <f>VLOOKUP(E:E,'Malzeme Listesi'!A:C,3,0)</f>
        <v>20</v>
      </c>
      <c r="H63">
        <v>12</v>
      </c>
      <c r="I63" s="1">
        <f t="shared" si="0"/>
        <v>240</v>
      </c>
    </row>
    <row r="64" spans="1:9" x14ac:dyDescent="0.25">
      <c r="A64" s="2" t="s">
        <v>17</v>
      </c>
      <c r="B64">
        <v>2001</v>
      </c>
      <c r="C64" t="str">
        <f>VLOOKUP(B:B,'İş Dağılımı'!A:B,2,0)</f>
        <v>Emine Şimşek</v>
      </c>
      <c r="D64" t="str">
        <f>VLOOKUP(B:B,'İş Dağılımı'!A:C,3,0)</f>
        <v>Aslı Balcı</v>
      </c>
      <c r="E64">
        <v>1725</v>
      </c>
      <c r="F64" t="str">
        <f>IFERROR(VLOOKUP(E:E,'Malzeme Listesi'!A:B,2,0),"")</f>
        <v>Deodorant</v>
      </c>
      <c r="G64" s="1">
        <f>VLOOKUP(E:E,'Malzeme Listesi'!A:C,3,0)</f>
        <v>37</v>
      </c>
      <c r="H64">
        <v>15</v>
      </c>
      <c r="I64" s="1">
        <f t="shared" si="0"/>
        <v>555</v>
      </c>
    </row>
    <row r="65" spans="1:9" x14ac:dyDescent="0.25">
      <c r="A65" s="2" t="s">
        <v>17</v>
      </c>
      <c r="B65">
        <v>2002</v>
      </c>
      <c r="C65" t="str">
        <f>VLOOKUP(B:B,'İş Dağılımı'!A:B,2,0)</f>
        <v>Adem Yıldız</v>
      </c>
      <c r="D65" t="str">
        <f>VLOOKUP(B:B,'İş Dağılımı'!A:C,3,0)</f>
        <v>Engin Demir</v>
      </c>
      <c r="E65">
        <v>1465</v>
      </c>
      <c r="F65" t="str">
        <f>IFERROR(VLOOKUP(E:E,'Malzeme Listesi'!A:B,2,0),"")</f>
        <v>Şampuan</v>
      </c>
      <c r="G65" s="1">
        <f>VLOOKUP(E:E,'Malzeme Listesi'!A:C,3,0)</f>
        <v>12</v>
      </c>
      <c r="H65">
        <v>16</v>
      </c>
      <c r="I65" s="1">
        <f t="shared" si="0"/>
        <v>192</v>
      </c>
    </row>
    <row r="66" spans="1:9" x14ac:dyDescent="0.25">
      <c r="A66" s="2" t="s">
        <v>17</v>
      </c>
      <c r="B66">
        <v>2002</v>
      </c>
      <c r="C66" t="str">
        <f>VLOOKUP(B:B,'İş Dağılımı'!A:B,2,0)</f>
        <v>Adem Yıldız</v>
      </c>
      <c r="D66" t="str">
        <f>VLOOKUP(B:B,'İş Dağılımı'!A:C,3,0)</f>
        <v>Engin Demir</v>
      </c>
      <c r="E66">
        <v>1246</v>
      </c>
      <c r="F66" t="str">
        <f>IFERROR(VLOOKUP(E:E,'Malzeme Listesi'!A:B,2,0),"")</f>
        <v>Parfüm</v>
      </c>
      <c r="G66" s="1">
        <f>VLOOKUP(E:E,'Malzeme Listesi'!A:C,3,0)</f>
        <v>20</v>
      </c>
      <c r="H66">
        <v>4</v>
      </c>
      <c r="I66" s="1">
        <f t="shared" ref="I66:I129" si="1">H66*G66</f>
        <v>80</v>
      </c>
    </row>
    <row r="67" spans="1:9" x14ac:dyDescent="0.25">
      <c r="A67" s="2" t="s">
        <v>17</v>
      </c>
      <c r="B67">
        <v>2002</v>
      </c>
      <c r="C67" t="str">
        <f>VLOOKUP(B:B,'İş Dağılımı'!A:B,2,0)</f>
        <v>Adem Yıldız</v>
      </c>
      <c r="D67" t="str">
        <f>VLOOKUP(B:B,'İş Dağılımı'!A:C,3,0)</f>
        <v>Engin Demir</v>
      </c>
      <c r="E67">
        <v>1725</v>
      </c>
      <c r="F67" t="str">
        <f>IFERROR(VLOOKUP(E:E,'Malzeme Listesi'!A:B,2,0),"")</f>
        <v>Deodorant</v>
      </c>
      <c r="G67" s="1">
        <f>VLOOKUP(E:E,'Malzeme Listesi'!A:C,3,0)</f>
        <v>37</v>
      </c>
      <c r="H67">
        <v>31</v>
      </c>
      <c r="I67" s="1">
        <f t="shared" si="1"/>
        <v>1147</v>
      </c>
    </row>
    <row r="68" spans="1:9" x14ac:dyDescent="0.25">
      <c r="A68" s="2" t="s">
        <v>17</v>
      </c>
      <c r="B68">
        <v>2003</v>
      </c>
      <c r="C68" t="str">
        <f>VLOOKUP(B:B,'İş Dağılımı'!A:B,2,0)</f>
        <v>İbrahim Vural</v>
      </c>
      <c r="D68" t="str">
        <f>VLOOKUP(B:B,'İş Dağılımı'!A:C,3,0)</f>
        <v>Engin Demir</v>
      </c>
      <c r="E68">
        <v>1465</v>
      </c>
      <c r="F68" t="str">
        <f>IFERROR(VLOOKUP(E:E,'Malzeme Listesi'!A:B,2,0),"")</f>
        <v>Şampuan</v>
      </c>
      <c r="G68" s="1">
        <f>VLOOKUP(E:E,'Malzeme Listesi'!A:C,3,0)</f>
        <v>12</v>
      </c>
      <c r="H68">
        <v>7</v>
      </c>
      <c r="I68" s="1">
        <f t="shared" si="1"/>
        <v>84</v>
      </c>
    </row>
    <row r="69" spans="1:9" x14ac:dyDescent="0.25">
      <c r="A69" s="2" t="s">
        <v>17</v>
      </c>
      <c r="B69">
        <v>2003</v>
      </c>
      <c r="C69" t="str">
        <f>VLOOKUP(B:B,'İş Dağılımı'!A:B,2,0)</f>
        <v>İbrahim Vural</v>
      </c>
      <c r="D69" t="str">
        <f>VLOOKUP(B:B,'İş Dağılımı'!A:C,3,0)</f>
        <v>Engin Demir</v>
      </c>
      <c r="E69">
        <v>1246</v>
      </c>
      <c r="F69" t="str">
        <f>IFERROR(VLOOKUP(E:E,'Malzeme Listesi'!A:B,2,0),"")</f>
        <v>Parfüm</v>
      </c>
      <c r="G69" s="1">
        <f>VLOOKUP(E:E,'Malzeme Listesi'!A:C,3,0)</f>
        <v>20</v>
      </c>
      <c r="H69">
        <v>8</v>
      </c>
      <c r="I69" s="1">
        <f t="shared" si="1"/>
        <v>160</v>
      </c>
    </row>
    <row r="70" spans="1:9" x14ac:dyDescent="0.25">
      <c r="A70" s="2" t="s">
        <v>17</v>
      </c>
      <c r="B70">
        <v>2003</v>
      </c>
      <c r="C70" t="str">
        <f>VLOOKUP(B:B,'İş Dağılımı'!A:B,2,0)</f>
        <v>İbrahim Vural</v>
      </c>
      <c r="D70" t="str">
        <f>VLOOKUP(B:B,'İş Dağılımı'!A:C,3,0)</f>
        <v>Engin Demir</v>
      </c>
      <c r="E70">
        <v>1725</v>
      </c>
      <c r="F70" t="str">
        <f>IFERROR(VLOOKUP(E:E,'Malzeme Listesi'!A:B,2,0),"")</f>
        <v>Deodorant</v>
      </c>
      <c r="G70" s="1">
        <f>VLOOKUP(E:E,'Malzeme Listesi'!A:C,3,0)</f>
        <v>37</v>
      </c>
      <c r="H70">
        <v>9</v>
      </c>
      <c r="I70" s="1">
        <f t="shared" si="1"/>
        <v>333</v>
      </c>
    </row>
    <row r="71" spans="1:9" x14ac:dyDescent="0.25">
      <c r="A71" s="2" t="s">
        <v>17</v>
      </c>
      <c r="B71">
        <v>2004</v>
      </c>
      <c r="C71" t="str">
        <f>VLOOKUP(B:B,'İş Dağılımı'!A:B,2,0)</f>
        <v>Mehmet Sodacı</v>
      </c>
      <c r="D71" t="str">
        <f>VLOOKUP(B:B,'İş Dağılımı'!A:C,3,0)</f>
        <v>Engin Demir</v>
      </c>
      <c r="E71">
        <v>1465</v>
      </c>
      <c r="F71" t="str">
        <f>IFERROR(VLOOKUP(E:E,'Malzeme Listesi'!A:B,2,0),"")</f>
        <v>Şampuan</v>
      </c>
      <c r="G71" s="1">
        <f>VLOOKUP(E:E,'Malzeme Listesi'!A:C,3,0)</f>
        <v>12</v>
      </c>
      <c r="H71">
        <v>26</v>
      </c>
      <c r="I71" s="1">
        <f t="shared" si="1"/>
        <v>312</v>
      </c>
    </row>
    <row r="72" spans="1:9" x14ac:dyDescent="0.25">
      <c r="A72" s="2" t="s">
        <v>17</v>
      </c>
      <c r="B72">
        <v>2004</v>
      </c>
      <c r="C72" t="str">
        <f>VLOOKUP(B:B,'İş Dağılımı'!A:B,2,0)</f>
        <v>Mehmet Sodacı</v>
      </c>
      <c r="D72" t="str">
        <f>VLOOKUP(B:B,'İş Dağılımı'!A:C,3,0)</f>
        <v>Engin Demir</v>
      </c>
      <c r="E72">
        <v>1246</v>
      </c>
      <c r="F72" t="str">
        <f>IFERROR(VLOOKUP(E:E,'Malzeme Listesi'!A:B,2,0),"")</f>
        <v>Parfüm</v>
      </c>
      <c r="G72" s="1">
        <f>VLOOKUP(E:E,'Malzeme Listesi'!A:C,3,0)</f>
        <v>20</v>
      </c>
      <c r="H72">
        <v>31</v>
      </c>
      <c r="I72" s="1">
        <f t="shared" si="1"/>
        <v>620</v>
      </c>
    </row>
    <row r="73" spans="1:9" x14ac:dyDescent="0.25">
      <c r="A73" s="2" t="s">
        <v>17</v>
      </c>
      <c r="B73">
        <v>2004</v>
      </c>
      <c r="C73" t="str">
        <f>VLOOKUP(B:B,'İş Dağılımı'!A:B,2,0)</f>
        <v>Mehmet Sodacı</v>
      </c>
      <c r="D73" t="str">
        <f>VLOOKUP(B:B,'İş Dağılımı'!A:C,3,0)</f>
        <v>Engin Demir</v>
      </c>
      <c r="E73">
        <v>1725</v>
      </c>
      <c r="F73" t="str">
        <f>IFERROR(VLOOKUP(E:E,'Malzeme Listesi'!A:B,2,0),"")</f>
        <v>Deodorant</v>
      </c>
      <c r="G73" s="1">
        <f>VLOOKUP(E:E,'Malzeme Listesi'!A:C,3,0)</f>
        <v>37</v>
      </c>
      <c r="H73">
        <v>49</v>
      </c>
      <c r="I73" s="1">
        <f t="shared" si="1"/>
        <v>1813</v>
      </c>
    </row>
    <row r="74" spans="1:9" x14ac:dyDescent="0.25">
      <c r="A74" s="2" t="s">
        <v>17</v>
      </c>
      <c r="B74">
        <v>2005</v>
      </c>
      <c r="C74" t="str">
        <f>VLOOKUP(B:B,'İş Dağılımı'!A:B,2,0)</f>
        <v>Mete Özak</v>
      </c>
      <c r="D74" t="str">
        <f>VLOOKUP(B:B,'İş Dağılımı'!A:C,3,0)</f>
        <v>Kadri Işık</v>
      </c>
      <c r="E74">
        <v>1465</v>
      </c>
      <c r="F74" t="str">
        <f>IFERROR(VLOOKUP(E:E,'Malzeme Listesi'!A:B,2,0),"")</f>
        <v>Şampuan</v>
      </c>
      <c r="G74" s="1">
        <f>VLOOKUP(E:E,'Malzeme Listesi'!A:C,3,0)</f>
        <v>12</v>
      </c>
      <c r="H74">
        <v>41</v>
      </c>
      <c r="I74" s="1">
        <f t="shared" si="1"/>
        <v>492</v>
      </c>
    </row>
    <row r="75" spans="1:9" x14ac:dyDescent="0.25">
      <c r="A75" s="2" t="s">
        <v>17</v>
      </c>
      <c r="B75">
        <v>2005</v>
      </c>
      <c r="C75" t="str">
        <f>VLOOKUP(B:B,'İş Dağılımı'!A:B,2,0)</f>
        <v>Mete Özak</v>
      </c>
      <c r="D75" t="str">
        <f>VLOOKUP(B:B,'İş Dağılımı'!A:C,3,0)</f>
        <v>Kadri Işık</v>
      </c>
      <c r="E75">
        <v>1246</v>
      </c>
      <c r="F75" t="str">
        <f>IFERROR(VLOOKUP(E:E,'Malzeme Listesi'!A:B,2,0),"")</f>
        <v>Parfüm</v>
      </c>
      <c r="G75" s="1">
        <f>VLOOKUP(E:E,'Malzeme Listesi'!A:C,3,0)</f>
        <v>20</v>
      </c>
      <c r="H75">
        <v>16</v>
      </c>
      <c r="I75" s="1">
        <f t="shared" si="1"/>
        <v>320</v>
      </c>
    </row>
    <row r="76" spans="1:9" x14ac:dyDescent="0.25">
      <c r="A76" s="2" t="s">
        <v>17</v>
      </c>
      <c r="B76">
        <v>2005</v>
      </c>
      <c r="C76" t="str">
        <f>VLOOKUP(B:B,'İş Dağılımı'!A:B,2,0)</f>
        <v>Mete Özak</v>
      </c>
      <c r="D76" t="str">
        <f>VLOOKUP(B:B,'İş Dağılımı'!A:C,3,0)</f>
        <v>Kadri Işık</v>
      </c>
      <c r="E76">
        <v>1725</v>
      </c>
      <c r="F76" t="str">
        <f>IFERROR(VLOOKUP(E:E,'Malzeme Listesi'!A:B,2,0),"")</f>
        <v>Deodorant</v>
      </c>
      <c r="G76" s="1">
        <f>VLOOKUP(E:E,'Malzeme Listesi'!A:C,3,0)</f>
        <v>37</v>
      </c>
      <c r="H76">
        <v>0</v>
      </c>
      <c r="I76" s="1">
        <f t="shared" si="1"/>
        <v>0</v>
      </c>
    </row>
    <row r="77" spans="1:9" x14ac:dyDescent="0.25">
      <c r="A77" s="2" t="s">
        <v>17</v>
      </c>
      <c r="B77">
        <v>2006</v>
      </c>
      <c r="C77" t="str">
        <f>VLOOKUP(B:B,'İş Dağılımı'!A:B,2,0)</f>
        <v>Fatih Güldüren</v>
      </c>
      <c r="D77" t="str">
        <f>VLOOKUP(B:B,'İş Dağılımı'!A:C,3,0)</f>
        <v>Aslı Balcı</v>
      </c>
      <c r="E77">
        <v>1465</v>
      </c>
      <c r="F77" t="str">
        <f>IFERROR(VLOOKUP(E:E,'Malzeme Listesi'!A:B,2,0),"")</f>
        <v>Şampuan</v>
      </c>
      <c r="G77" s="1">
        <f>VLOOKUP(E:E,'Malzeme Listesi'!A:C,3,0)</f>
        <v>12</v>
      </c>
      <c r="H77">
        <v>19</v>
      </c>
      <c r="I77" s="1">
        <f t="shared" si="1"/>
        <v>228</v>
      </c>
    </row>
    <row r="78" spans="1:9" x14ac:dyDescent="0.25">
      <c r="A78" s="2" t="s">
        <v>17</v>
      </c>
      <c r="B78">
        <v>2006</v>
      </c>
      <c r="C78" t="str">
        <f>VLOOKUP(B:B,'İş Dağılımı'!A:B,2,0)</f>
        <v>Fatih Güldüren</v>
      </c>
      <c r="D78" t="str">
        <f>VLOOKUP(B:B,'İş Dağılımı'!A:C,3,0)</f>
        <v>Aslı Balcı</v>
      </c>
      <c r="E78">
        <v>1246</v>
      </c>
      <c r="F78" t="str">
        <f>IFERROR(VLOOKUP(E:E,'Malzeme Listesi'!A:B,2,0),"")</f>
        <v>Parfüm</v>
      </c>
      <c r="G78" s="1">
        <f>VLOOKUP(E:E,'Malzeme Listesi'!A:C,3,0)</f>
        <v>20</v>
      </c>
      <c r="H78">
        <v>37</v>
      </c>
      <c r="I78" s="1">
        <f t="shared" si="1"/>
        <v>740</v>
      </c>
    </row>
    <row r="79" spans="1:9" x14ac:dyDescent="0.25">
      <c r="A79" s="2" t="s">
        <v>17</v>
      </c>
      <c r="B79">
        <v>2006</v>
      </c>
      <c r="C79" t="str">
        <f>VLOOKUP(B:B,'İş Dağılımı'!A:B,2,0)</f>
        <v>Fatih Güldüren</v>
      </c>
      <c r="D79" t="str">
        <f>VLOOKUP(B:B,'İş Dağılımı'!A:C,3,0)</f>
        <v>Aslı Balcı</v>
      </c>
      <c r="E79">
        <v>1725</v>
      </c>
      <c r="F79" t="str">
        <f>IFERROR(VLOOKUP(E:E,'Malzeme Listesi'!A:B,2,0),"")</f>
        <v>Deodorant</v>
      </c>
      <c r="G79" s="1">
        <f>VLOOKUP(E:E,'Malzeme Listesi'!A:C,3,0)</f>
        <v>37</v>
      </c>
      <c r="H79">
        <v>24</v>
      </c>
      <c r="I79" s="1">
        <f t="shared" si="1"/>
        <v>888</v>
      </c>
    </row>
    <row r="80" spans="1:9" x14ac:dyDescent="0.25">
      <c r="A80" s="2" t="s">
        <v>17</v>
      </c>
      <c r="B80">
        <v>2007</v>
      </c>
      <c r="C80" t="str">
        <f>VLOOKUP(B:B,'İş Dağılımı'!A:B,2,0)</f>
        <v>Zeynep Yetişen</v>
      </c>
      <c r="D80" t="str">
        <f>VLOOKUP(B:B,'İş Dağılımı'!A:C,3,0)</f>
        <v>Engin Demir</v>
      </c>
      <c r="E80">
        <v>1465</v>
      </c>
      <c r="F80" t="str">
        <f>IFERROR(VLOOKUP(E:E,'Malzeme Listesi'!A:B,2,0),"")</f>
        <v>Şampuan</v>
      </c>
      <c r="G80" s="1">
        <f>VLOOKUP(E:E,'Malzeme Listesi'!A:C,3,0)</f>
        <v>12</v>
      </c>
      <c r="H80">
        <v>15</v>
      </c>
      <c r="I80" s="1">
        <f t="shared" si="1"/>
        <v>180</v>
      </c>
    </row>
    <row r="81" spans="1:9" x14ac:dyDescent="0.25">
      <c r="A81" s="2" t="s">
        <v>17</v>
      </c>
      <c r="B81">
        <v>2007</v>
      </c>
      <c r="C81" t="str">
        <f>VLOOKUP(B:B,'İş Dağılımı'!A:B,2,0)</f>
        <v>Zeynep Yetişen</v>
      </c>
      <c r="D81" t="str">
        <f>VLOOKUP(B:B,'İş Dağılımı'!A:C,3,0)</f>
        <v>Engin Demir</v>
      </c>
      <c r="E81">
        <v>1246</v>
      </c>
      <c r="F81" t="str">
        <f>IFERROR(VLOOKUP(E:E,'Malzeme Listesi'!A:B,2,0),"")</f>
        <v>Parfüm</v>
      </c>
      <c r="G81" s="1">
        <f>VLOOKUP(E:E,'Malzeme Listesi'!A:C,3,0)</f>
        <v>20</v>
      </c>
      <c r="H81">
        <v>15</v>
      </c>
      <c r="I81" s="1">
        <f t="shared" si="1"/>
        <v>300</v>
      </c>
    </row>
    <row r="82" spans="1:9" x14ac:dyDescent="0.25">
      <c r="A82" s="2" t="s">
        <v>17</v>
      </c>
      <c r="B82">
        <v>2007</v>
      </c>
      <c r="C82" t="str">
        <f>VLOOKUP(B:B,'İş Dağılımı'!A:B,2,0)</f>
        <v>Zeynep Yetişen</v>
      </c>
      <c r="D82" t="str">
        <f>VLOOKUP(B:B,'İş Dağılımı'!A:C,3,0)</f>
        <v>Engin Demir</v>
      </c>
      <c r="E82">
        <v>1725</v>
      </c>
      <c r="F82" t="str">
        <f>IFERROR(VLOOKUP(E:E,'Malzeme Listesi'!A:B,2,0),"")</f>
        <v>Deodorant</v>
      </c>
      <c r="G82" s="1">
        <f>VLOOKUP(E:E,'Malzeme Listesi'!A:C,3,0)</f>
        <v>37</v>
      </c>
      <c r="H82">
        <v>10</v>
      </c>
      <c r="I82" s="1">
        <f t="shared" si="1"/>
        <v>370</v>
      </c>
    </row>
    <row r="83" spans="1:9" x14ac:dyDescent="0.25">
      <c r="A83" s="2" t="s">
        <v>17</v>
      </c>
      <c r="B83">
        <v>2008</v>
      </c>
      <c r="C83" t="str">
        <f>VLOOKUP(B:B,'İş Dağılımı'!A:B,2,0)</f>
        <v>Ediz Ekin</v>
      </c>
      <c r="D83" t="str">
        <f>VLOOKUP(B:B,'İş Dağılımı'!A:C,3,0)</f>
        <v>Kadri Işık</v>
      </c>
      <c r="E83">
        <v>1465</v>
      </c>
      <c r="F83" t="str">
        <f>IFERROR(VLOOKUP(E:E,'Malzeme Listesi'!A:B,2,0),"")</f>
        <v>Şampuan</v>
      </c>
      <c r="G83" s="1">
        <f>VLOOKUP(E:E,'Malzeme Listesi'!A:C,3,0)</f>
        <v>12</v>
      </c>
      <c r="H83">
        <v>26</v>
      </c>
      <c r="I83" s="1">
        <f t="shared" si="1"/>
        <v>312</v>
      </c>
    </row>
    <row r="84" spans="1:9" x14ac:dyDescent="0.25">
      <c r="A84" s="2" t="s">
        <v>17</v>
      </c>
      <c r="B84">
        <v>2008</v>
      </c>
      <c r="C84" t="str">
        <f>VLOOKUP(B:B,'İş Dağılımı'!A:B,2,0)</f>
        <v>Ediz Ekin</v>
      </c>
      <c r="D84" t="str">
        <f>VLOOKUP(B:B,'İş Dağılımı'!A:C,3,0)</f>
        <v>Kadri Işık</v>
      </c>
      <c r="E84">
        <v>1246</v>
      </c>
      <c r="F84" t="str">
        <f>IFERROR(VLOOKUP(E:E,'Malzeme Listesi'!A:B,2,0),"")</f>
        <v>Parfüm</v>
      </c>
      <c r="G84" s="1">
        <f>VLOOKUP(E:E,'Malzeme Listesi'!A:C,3,0)</f>
        <v>20</v>
      </c>
      <c r="H84">
        <v>26</v>
      </c>
      <c r="I84" s="1">
        <f t="shared" si="1"/>
        <v>520</v>
      </c>
    </row>
    <row r="85" spans="1:9" x14ac:dyDescent="0.25">
      <c r="A85" s="2" t="s">
        <v>17</v>
      </c>
      <c r="B85">
        <v>2008</v>
      </c>
      <c r="C85" t="str">
        <f>VLOOKUP(B:B,'İş Dağılımı'!A:B,2,0)</f>
        <v>Ediz Ekin</v>
      </c>
      <c r="D85" t="str">
        <f>VLOOKUP(B:B,'İş Dağılımı'!A:C,3,0)</f>
        <v>Kadri Işık</v>
      </c>
      <c r="E85">
        <v>1725</v>
      </c>
      <c r="F85" t="str">
        <f>IFERROR(VLOOKUP(E:E,'Malzeme Listesi'!A:B,2,0),"")</f>
        <v>Deodorant</v>
      </c>
      <c r="G85" s="1">
        <f>VLOOKUP(E:E,'Malzeme Listesi'!A:C,3,0)</f>
        <v>37</v>
      </c>
      <c r="H85">
        <v>46</v>
      </c>
      <c r="I85" s="1">
        <f t="shared" si="1"/>
        <v>1702</v>
      </c>
    </row>
    <row r="86" spans="1:9" x14ac:dyDescent="0.25">
      <c r="A86" s="2" t="s">
        <v>17</v>
      </c>
      <c r="B86">
        <v>2009</v>
      </c>
      <c r="C86" t="str">
        <f>VLOOKUP(B:B,'İş Dağılımı'!A:B,2,0)</f>
        <v>Alper Çakır</v>
      </c>
      <c r="D86" t="str">
        <f>VLOOKUP(B:B,'İş Dağılımı'!A:C,3,0)</f>
        <v>Kadri Işık</v>
      </c>
      <c r="E86">
        <v>1465</v>
      </c>
      <c r="F86" t="str">
        <f>IFERROR(VLOOKUP(E:E,'Malzeme Listesi'!A:B,2,0),"")</f>
        <v>Şampuan</v>
      </c>
      <c r="G86" s="1">
        <f>VLOOKUP(E:E,'Malzeme Listesi'!A:C,3,0)</f>
        <v>12</v>
      </c>
      <c r="H86">
        <v>20</v>
      </c>
      <c r="I86" s="1">
        <f t="shared" si="1"/>
        <v>240</v>
      </c>
    </row>
    <row r="87" spans="1:9" x14ac:dyDescent="0.25">
      <c r="A87" s="2" t="s">
        <v>17</v>
      </c>
      <c r="B87">
        <v>2009</v>
      </c>
      <c r="C87" t="str">
        <f>VLOOKUP(B:B,'İş Dağılımı'!A:B,2,0)</f>
        <v>Alper Çakır</v>
      </c>
      <c r="D87" t="str">
        <f>VLOOKUP(B:B,'İş Dağılımı'!A:C,3,0)</f>
        <v>Kadri Işık</v>
      </c>
      <c r="E87">
        <v>1246</v>
      </c>
      <c r="F87" t="str">
        <f>IFERROR(VLOOKUP(E:E,'Malzeme Listesi'!A:B,2,0),"")</f>
        <v>Parfüm</v>
      </c>
      <c r="G87" s="1">
        <f>VLOOKUP(E:E,'Malzeme Listesi'!A:C,3,0)</f>
        <v>20</v>
      </c>
      <c r="H87">
        <v>13</v>
      </c>
      <c r="I87" s="1">
        <f t="shared" si="1"/>
        <v>260</v>
      </c>
    </row>
    <row r="88" spans="1:9" x14ac:dyDescent="0.25">
      <c r="A88" s="2" t="s">
        <v>17</v>
      </c>
      <c r="B88">
        <v>2009</v>
      </c>
      <c r="C88" t="str">
        <f>VLOOKUP(B:B,'İş Dağılımı'!A:B,2,0)</f>
        <v>Alper Çakır</v>
      </c>
      <c r="D88" t="str">
        <f>VLOOKUP(B:B,'İş Dağılımı'!A:C,3,0)</f>
        <v>Kadri Işık</v>
      </c>
      <c r="E88">
        <v>1725</v>
      </c>
      <c r="F88" t="str">
        <f>IFERROR(VLOOKUP(E:E,'Malzeme Listesi'!A:B,2,0),"")</f>
        <v>Deodorant</v>
      </c>
      <c r="G88" s="1">
        <f>VLOOKUP(E:E,'Malzeme Listesi'!A:C,3,0)</f>
        <v>37</v>
      </c>
      <c r="H88">
        <v>18</v>
      </c>
      <c r="I88" s="1">
        <f t="shared" si="1"/>
        <v>666</v>
      </c>
    </row>
    <row r="89" spans="1:9" x14ac:dyDescent="0.25">
      <c r="A89" s="2" t="s">
        <v>17</v>
      </c>
      <c r="B89">
        <v>2010</v>
      </c>
      <c r="C89" t="str">
        <f>VLOOKUP(B:B,'İş Dağılımı'!A:B,2,0)</f>
        <v>Enver Toprak</v>
      </c>
      <c r="D89" t="str">
        <f>VLOOKUP(B:B,'İş Dağılımı'!A:C,3,0)</f>
        <v>Aslı Balcı</v>
      </c>
      <c r="E89">
        <v>1465</v>
      </c>
      <c r="F89" t="str">
        <f>IFERROR(VLOOKUP(E:E,'Malzeme Listesi'!A:B,2,0),"")</f>
        <v>Şampuan</v>
      </c>
      <c r="G89" s="1">
        <f>VLOOKUP(E:E,'Malzeme Listesi'!A:C,3,0)</f>
        <v>12</v>
      </c>
      <c r="H89">
        <v>49</v>
      </c>
      <c r="I89" s="1">
        <f t="shared" si="1"/>
        <v>588</v>
      </c>
    </row>
    <row r="90" spans="1:9" x14ac:dyDescent="0.25">
      <c r="A90" s="2" t="s">
        <v>17</v>
      </c>
      <c r="B90">
        <v>2010</v>
      </c>
      <c r="C90" t="str">
        <f>VLOOKUP(B:B,'İş Dağılımı'!A:B,2,0)</f>
        <v>Enver Toprak</v>
      </c>
      <c r="D90" t="str">
        <f>VLOOKUP(B:B,'İş Dağılımı'!A:C,3,0)</f>
        <v>Aslı Balcı</v>
      </c>
      <c r="E90">
        <v>1246</v>
      </c>
      <c r="F90" t="str">
        <f>IFERROR(VLOOKUP(E:E,'Malzeme Listesi'!A:B,2,0),"")</f>
        <v>Parfüm</v>
      </c>
      <c r="G90" s="1">
        <f>VLOOKUP(E:E,'Malzeme Listesi'!A:C,3,0)</f>
        <v>20</v>
      </c>
      <c r="H90">
        <v>22</v>
      </c>
      <c r="I90" s="1">
        <f t="shared" si="1"/>
        <v>440</v>
      </c>
    </row>
    <row r="91" spans="1:9" x14ac:dyDescent="0.25">
      <c r="A91" s="2" t="s">
        <v>17</v>
      </c>
      <c r="B91">
        <v>2010</v>
      </c>
      <c r="C91" t="str">
        <f>VLOOKUP(B:B,'İş Dağılımı'!A:B,2,0)</f>
        <v>Enver Toprak</v>
      </c>
      <c r="D91" t="str">
        <f>VLOOKUP(B:B,'İş Dağılımı'!A:C,3,0)</f>
        <v>Aslı Balcı</v>
      </c>
      <c r="E91">
        <v>1725</v>
      </c>
      <c r="F91" t="str">
        <f>IFERROR(VLOOKUP(E:E,'Malzeme Listesi'!A:B,2,0),"")</f>
        <v>Deodorant</v>
      </c>
      <c r="G91" s="1">
        <f>VLOOKUP(E:E,'Malzeme Listesi'!A:C,3,0)</f>
        <v>37</v>
      </c>
      <c r="H91">
        <v>13</v>
      </c>
      <c r="I91" s="1">
        <f t="shared" si="1"/>
        <v>481</v>
      </c>
    </row>
    <row r="92" spans="1:9" x14ac:dyDescent="0.25">
      <c r="A92" s="2" t="s">
        <v>17</v>
      </c>
      <c r="B92">
        <v>2011</v>
      </c>
      <c r="C92" t="str">
        <f>VLOOKUP(B:B,'İş Dağılımı'!A:B,2,0)</f>
        <v>Recep Koca</v>
      </c>
      <c r="D92" t="str">
        <f>VLOOKUP(B:B,'İş Dağılımı'!A:C,3,0)</f>
        <v>Aslı Balcı</v>
      </c>
      <c r="E92">
        <v>1465</v>
      </c>
      <c r="F92" t="str">
        <f>IFERROR(VLOOKUP(E:E,'Malzeme Listesi'!A:B,2,0),"")</f>
        <v>Şampuan</v>
      </c>
      <c r="G92" s="1">
        <f>VLOOKUP(E:E,'Malzeme Listesi'!A:C,3,0)</f>
        <v>12</v>
      </c>
      <c r="H92">
        <v>23</v>
      </c>
      <c r="I92" s="1">
        <f t="shared" si="1"/>
        <v>276</v>
      </c>
    </row>
    <row r="93" spans="1:9" x14ac:dyDescent="0.25">
      <c r="A93" s="2" t="s">
        <v>17</v>
      </c>
      <c r="B93">
        <v>2011</v>
      </c>
      <c r="C93" t="str">
        <f>VLOOKUP(B:B,'İş Dağılımı'!A:B,2,0)</f>
        <v>Recep Koca</v>
      </c>
      <c r="D93" t="str">
        <f>VLOOKUP(B:B,'İş Dağılımı'!A:C,3,0)</f>
        <v>Aslı Balcı</v>
      </c>
      <c r="E93">
        <v>1246</v>
      </c>
      <c r="F93" t="str">
        <f>IFERROR(VLOOKUP(E:E,'Malzeme Listesi'!A:B,2,0),"")</f>
        <v>Parfüm</v>
      </c>
      <c r="G93" s="1">
        <f>VLOOKUP(E:E,'Malzeme Listesi'!A:C,3,0)</f>
        <v>20</v>
      </c>
      <c r="H93">
        <v>13</v>
      </c>
      <c r="I93" s="1">
        <f t="shared" si="1"/>
        <v>260</v>
      </c>
    </row>
    <row r="94" spans="1:9" x14ac:dyDescent="0.25">
      <c r="A94" s="2" t="s">
        <v>17</v>
      </c>
      <c r="B94">
        <v>2011</v>
      </c>
      <c r="C94" t="str">
        <f>VLOOKUP(B:B,'İş Dağılımı'!A:B,2,0)</f>
        <v>Recep Koca</v>
      </c>
      <c r="D94" t="str">
        <f>VLOOKUP(B:B,'İş Dağılımı'!A:C,3,0)</f>
        <v>Aslı Balcı</v>
      </c>
      <c r="E94">
        <v>1725</v>
      </c>
      <c r="F94" t="str">
        <f>IFERROR(VLOOKUP(E:E,'Malzeme Listesi'!A:B,2,0),"")</f>
        <v>Deodorant</v>
      </c>
      <c r="G94" s="1">
        <f>VLOOKUP(E:E,'Malzeme Listesi'!A:C,3,0)</f>
        <v>37</v>
      </c>
      <c r="H94">
        <v>30</v>
      </c>
      <c r="I94" s="1">
        <f t="shared" si="1"/>
        <v>1110</v>
      </c>
    </row>
    <row r="95" spans="1:9" x14ac:dyDescent="0.25">
      <c r="A95" s="2" t="s">
        <v>17</v>
      </c>
      <c r="B95">
        <v>2012</v>
      </c>
      <c r="C95" t="str">
        <f>VLOOKUP(B:B,'İş Dağılımı'!A:B,2,0)</f>
        <v>Murat Maden</v>
      </c>
      <c r="D95" t="str">
        <f>VLOOKUP(B:B,'İş Dağılımı'!A:C,3,0)</f>
        <v>Kadri Işık</v>
      </c>
      <c r="E95">
        <v>1465</v>
      </c>
      <c r="F95" t="str">
        <f>IFERROR(VLOOKUP(E:E,'Malzeme Listesi'!A:B,2,0),"")</f>
        <v>Şampuan</v>
      </c>
      <c r="G95" s="1">
        <f>VLOOKUP(E:E,'Malzeme Listesi'!A:C,3,0)</f>
        <v>12</v>
      </c>
      <c r="H95">
        <v>20</v>
      </c>
      <c r="I95" s="1">
        <f t="shared" si="1"/>
        <v>240</v>
      </c>
    </row>
    <row r="96" spans="1:9" x14ac:dyDescent="0.25">
      <c r="A96" s="2" t="s">
        <v>17</v>
      </c>
      <c r="B96">
        <v>2012</v>
      </c>
      <c r="C96" t="str">
        <f>VLOOKUP(B:B,'İş Dağılımı'!A:B,2,0)</f>
        <v>Murat Maden</v>
      </c>
      <c r="D96" t="str">
        <f>VLOOKUP(B:B,'İş Dağılımı'!A:C,3,0)</f>
        <v>Kadri Işık</v>
      </c>
      <c r="E96">
        <v>1246</v>
      </c>
      <c r="F96" t="str">
        <f>IFERROR(VLOOKUP(E:E,'Malzeme Listesi'!A:B,2,0),"")</f>
        <v>Parfüm</v>
      </c>
      <c r="G96" s="1">
        <f>VLOOKUP(E:E,'Malzeme Listesi'!A:C,3,0)</f>
        <v>20</v>
      </c>
      <c r="H96">
        <v>20</v>
      </c>
      <c r="I96" s="1">
        <f t="shared" si="1"/>
        <v>400</v>
      </c>
    </row>
    <row r="97" spans="1:9" x14ac:dyDescent="0.25">
      <c r="A97" s="2" t="s">
        <v>17</v>
      </c>
      <c r="B97">
        <v>2012</v>
      </c>
      <c r="C97" t="str">
        <f>VLOOKUP(B:B,'İş Dağılımı'!A:B,2,0)</f>
        <v>Murat Maden</v>
      </c>
      <c r="D97" t="str">
        <f>VLOOKUP(B:B,'İş Dağılımı'!A:C,3,0)</f>
        <v>Kadri Işık</v>
      </c>
      <c r="E97">
        <v>1725</v>
      </c>
      <c r="F97" t="str">
        <f>IFERROR(VLOOKUP(E:E,'Malzeme Listesi'!A:B,2,0),"")</f>
        <v>Deodorant</v>
      </c>
      <c r="G97" s="1">
        <f>VLOOKUP(E:E,'Malzeme Listesi'!A:C,3,0)</f>
        <v>37</v>
      </c>
      <c r="H97">
        <v>20</v>
      </c>
      <c r="I97" s="1">
        <f t="shared" si="1"/>
        <v>740</v>
      </c>
    </row>
    <row r="98" spans="1:9" x14ac:dyDescent="0.25">
      <c r="A98" s="2" t="s">
        <v>17</v>
      </c>
      <c r="B98">
        <v>2013</v>
      </c>
      <c r="C98" t="str">
        <f>VLOOKUP(B:B,'İş Dağılımı'!A:B,2,0)</f>
        <v>Zeki Civan</v>
      </c>
      <c r="D98" t="str">
        <f>VLOOKUP(B:B,'İş Dağılımı'!A:C,3,0)</f>
        <v>Engin Demir</v>
      </c>
      <c r="E98">
        <v>1465</v>
      </c>
      <c r="F98" t="str">
        <f>IFERROR(VLOOKUP(E:E,'Malzeme Listesi'!A:B,2,0),"")</f>
        <v>Şampuan</v>
      </c>
      <c r="G98" s="1">
        <f>VLOOKUP(E:E,'Malzeme Listesi'!A:C,3,0)</f>
        <v>12</v>
      </c>
      <c r="H98">
        <v>42</v>
      </c>
      <c r="I98" s="1">
        <f t="shared" si="1"/>
        <v>504</v>
      </c>
    </row>
    <row r="99" spans="1:9" x14ac:dyDescent="0.25">
      <c r="A99" s="2" t="s">
        <v>17</v>
      </c>
      <c r="B99">
        <v>2013</v>
      </c>
      <c r="C99" t="str">
        <f>VLOOKUP(B:B,'İş Dağılımı'!A:B,2,0)</f>
        <v>Zeki Civan</v>
      </c>
      <c r="D99" t="str">
        <f>VLOOKUP(B:B,'İş Dağılımı'!A:C,3,0)</f>
        <v>Engin Demir</v>
      </c>
      <c r="E99">
        <v>1246</v>
      </c>
      <c r="F99" t="str">
        <f>IFERROR(VLOOKUP(E:E,'Malzeme Listesi'!A:B,2,0),"")</f>
        <v>Parfüm</v>
      </c>
      <c r="G99" s="1">
        <f>VLOOKUP(E:E,'Malzeme Listesi'!A:C,3,0)</f>
        <v>20</v>
      </c>
      <c r="H99">
        <v>18</v>
      </c>
      <c r="I99" s="1">
        <f t="shared" si="1"/>
        <v>360</v>
      </c>
    </row>
    <row r="100" spans="1:9" x14ac:dyDescent="0.25">
      <c r="A100" s="2" t="s">
        <v>17</v>
      </c>
      <c r="B100">
        <v>2013</v>
      </c>
      <c r="C100" t="str">
        <f>VLOOKUP(B:B,'İş Dağılımı'!A:B,2,0)</f>
        <v>Zeki Civan</v>
      </c>
      <c r="D100" t="str">
        <f>VLOOKUP(B:B,'İş Dağılımı'!A:C,3,0)</f>
        <v>Engin Demir</v>
      </c>
      <c r="E100">
        <v>1725</v>
      </c>
      <c r="F100" t="str">
        <f>IFERROR(VLOOKUP(E:E,'Malzeme Listesi'!A:B,2,0),"")</f>
        <v>Deodorant</v>
      </c>
      <c r="G100" s="1">
        <f>VLOOKUP(E:E,'Malzeme Listesi'!A:C,3,0)</f>
        <v>37</v>
      </c>
      <c r="H100">
        <v>2</v>
      </c>
      <c r="I100" s="1">
        <f t="shared" si="1"/>
        <v>74</v>
      </c>
    </row>
    <row r="101" spans="1:9" x14ac:dyDescent="0.25">
      <c r="A101" s="2" t="s">
        <v>17</v>
      </c>
      <c r="B101">
        <v>2014</v>
      </c>
      <c r="C101" t="str">
        <f>VLOOKUP(B:B,'İş Dağılımı'!A:B,2,0)</f>
        <v>Gülsüm Çalışkan</v>
      </c>
      <c r="D101" t="str">
        <f>VLOOKUP(B:B,'İş Dağılımı'!A:C,3,0)</f>
        <v>Engin Demir</v>
      </c>
      <c r="E101">
        <v>1465</v>
      </c>
      <c r="F101" t="str">
        <f>IFERROR(VLOOKUP(E:E,'Malzeme Listesi'!A:B,2,0),"")</f>
        <v>Şampuan</v>
      </c>
      <c r="G101" s="1">
        <f>VLOOKUP(E:E,'Malzeme Listesi'!A:C,3,0)</f>
        <v>12</v>
      </c>
      <c r="H101">
        <v>41</v>
      </c>
      <c r="I101" s="1">
        <f t="shared" si="1"/>
        <v>492</v>
      </c>
    </row>
    <row r="102" spans="1:9" x14ac:dyDescent="0.25">
      <c r="A102" s="2" t="s">
        <v>17</v>
      </c>
      <c r="B102">
        <v>2014</v>
      </c>
      <c r="C102" t="str">
        <f>VLOOKUP(B:B,'İş Dağılımı'!A:B,2,0)</f>
        <v>Gülsüm Çalışkan</v>
      </c>
      <c r="D102" t="str">
        <f>VLOOKUP(B:B,'İş Dağılımı'!A:C,3,0)</f>
        <v>Engin Demir</v>
      </c>
      <c r="E102">
        <v>1246</v>
      </c>
      <c r="F102" t="str">
        <f>IFERROR(VLOOKUP(E:E,'Malzeme Listesi'!A:B,2,0),"")</f>
        <v>Parfüm</v>
      </c>
      <c r="G102" s="1">
        <f>VLOOKUP(E:E,'Malzeme Listesi'!A:C,3,0)</f>
        <v>20</v>
      </c>
      <c r="H102">
        <v>28</v>
      </c>
      <c r="I102" s="1">
        <f t="shared" si="1"/>
        <v>560</v>
      </c>
    </row>
    <row r="103" spans="1:9" x14ac:dyDescent="0.25">
      <c r="A103" s="2" t="s">
        <v>17</v>
      </c>
      <c r="B103">
        <v>2014</v>
      </c>
      <c r="C103" t="str">
        <f>VLOOKUP(B:B,'İş Dağılımı'!A:B,2,0)</f>
        <v>Gülsüm Çalışkan</v>
      </c>
      <c r="D103" t="str">
        <f>VLOOKUP(B:B,'İş Dağılımı'!A:C,3,0)</f>
        <v>Engin Demir</v>
      </c>
      <c r="E103">
        <v>1725</v>
      </c>
      <c r="F103" t="str">
        <f>IFERROR(VLOOKUP(E:E,'Malzeme Listesi'!A:B,2,0),"")</f>
        <v>Deodorant</v>
      </c>
      <c r="G103" s="1">
        <f>VLOOKUP(E:E,'Malzeme Listesi'!A:C,3,0)</f>
        <v>37</v>
      </c>
      <c r="H103">
        <v>39</v>
      </c>
      <c r="I103" s="1">
        <f t="shared" si="1"/>
        <v>1443</v>
      </c>
    </row>
    <row r="104" spans="1:9" x14ac:dyDescent="0.25">
      <c r="A104" s="2" t="s">
        <v>18</v>
      </c>
      <c r="B104">
        <v>1998</v>
      </c>
      <c r="C104" t="str">
        <f>VLOOKUP(B:B,'İş Dağılımı'!A:B,2,0)</f>
        <v>Ayşe Zengin</v>
      </c>
      <c r="D104" t="str">
        <f>VLOOKUP(B:B,'İş Dağılımı'!A:C,3,0)</f>
        <v>Kadri Işık</v>
      </c>
      <c r="E104">
        <v>1465</v>
      </c>
      <c r="F104" t="str">
        <f>IFERROR(VLOOKUP(E:E,'Malzeme Listesi'!A:B,2,0),"")</f>
        <v>Şampuan</v>
      </c>
      <c r="G104" s="1">
        <f>VLOOKUP(E:E,'Malzeme Listesi'!A:C,3,0)</f>
        <v>12</v>
      </c>
      <c r="H104">
        <v>37</v>
      </c>
      <c r="I104" s="1">
        <f t="shared" si="1"/>
        <v>444</v>
      </c>
    </row>
    <row r="105" spans="1:9" x14ac:dyDescent="0.25">
      <c r="A105" s="2" t="s">
        <v>18</v>
      </c>
      <c r="B105">
        <v>1998</v>
      </c>
      <c r="C105" t="str">
        <f>VLOOKUP(B:B,'İş Dağılımı'!A:B,2,0)</f>
        <v>Ayşe Zengin</v>
      </c>
      <c r="D105" t="str">
        <f>VLOOKUP(B:B,'İş Dağılımı'!A:C,3,0)</f>
        <v>Kadri Işık</v>
      </c>
      <c r="E105">
        <v>1246</v>
      </c>
      <c r="F105" t="str">
        <f>IFERROR(VLOOKUP(E:E,'Malzeme Listesi'!A:B,2,0),"")</f>
        <v>Parfüm</v>
      </c>
      <c r="G105" s="1">
        <f>VLOOKUP(E:E,'Malzeme Listesi'!A:C,3,0)</f>
        <v>20</v>
      </c>
      <c r="H105">
        <v>25</v>
      </c>
      <c r="I105" s="1">
        <f t="shared" si="1"/>
        <v>500</v>
      </c>
    </row>
    <row r="106" spans="1:9" x14ac:dyDescent="0.25">
      <c r="A106" s="2" t="s">
        <v>18</v>
      </c>
      <c r="B106">
        <v>1998</v>
      </c>
      <c r="C106" t="str">
        <f>VLOOKUP(B:B,'İş Dağılımı'!A:B,2,0)</f>
        <v>Ayşe Zengin</v>
      </c>
      <c r="D106" t="str">
        <f>VLOOKUP(B:B,'İş Dağılımı'!A:C,3,0)</f>
        <v>Kadri Işık</v>
      </c>
      <c r="E106">
        <v>1725</v>
      </c>
      <c r="F106" t="str">
        <f>IFERROR(VLOOKUP(E:E,'Malzeme Listesi'!A:B,2,0),"")</f>
        <v>Deodorant</v>
      </c>
      <c r="G106" s="1">
        <f>VLOOKUP(E:E,'Malzeme Listesi'!A:C,3,0)</f>
        <v>37</v>
      </c>
      <c r="H106">
        <v>8</v>
      </c>
      <c r="I106" s="1">
        <f t="shared" si="1"/>
        <v>296</v>
      </c>
    </row>
    <row r="107" spans="1:9" x14ac:dyDescent="0.25">
      <c r="A107" s="2" t="s">
        <v>18</v>
      </c>
      <c r="B107">
        <v>1999</v>
      </c>
      <c r="C107" t="str">
        <f>VLOOKUP(B:B,'İş Dağılımı'!A:B,2,0)</f>
        <v>Gamze Öztürk</v>
      </c>
      <c r="D107" t="str">
        <f>VLOOKUP(B:B,'İş Dağılımı'!A:C,3,0)</f>
        <v>Engin Demir</v>
      </c>
      <c r="E107">
        <v>1465</v>
      </c>
      <c r="F107" t="str">
        <f>IFERROR(VLOOKUP(E:E,'Malzeme Listesi'!A:B,2,0),"")</f>
        <v>Şampuan</v>
      </c>
      <c r="G107" s="1">
        <f>VLOOKUP(E:E,'Malzeme Listesi'!A:C,3,0)</f>
        <v>12</v>
      </c>
      <c r="H107">
        <v>7</v>
      </c>
      <c r="I107" s="1">
        <f t="shared" si="1"/>
        <v>84</v>
      </c>
    </row>
    <row r="108" spans="1:9" x14ac:dyDescent="0.25">
      <c r="A108" s="2" t="s">
        <v>18</v>
      </c>
      <c r="B108">
        <v>1999</v>
      </c>
      <c r="C108" t="str">
        <f>VLOOKUP(B:B,'İş Dağılımı'!A:B,2,0)</f>
        <v>Gamze Öztürk</v>
      </c>
      <c r="D108" t="str">
        <f>VLOOKUP(B:B,'İş Dağılımı'!A:C,3,0)</f>
        <v>Engin Demir</v>
      </c>
      <c r="E108">
        <v>1246</v>
      </c>
      <c r="F108" t="str">
        <f>IFERROR(VLOOKUP(E:E,'Malzeme Listesi'!A:B,2,0),"")</f>
        <v>Parfüm</v>
      </c>
      <c r="G108" s="1">
        <f>VLOOKUP(E:E,'Malzeme Listesi'!A:C,3,0)</f>
        <v>20</v>
      </c>
      <c r="H108">
        <v>32</v>
      </c>
      <c r="I108" s="1">
        <f t="shared" si="1"/>
        <v>640</v>
      </c>
    </row>
    <row r="109" spans="1:9" x14ac:dyDescent="0.25">
      <c r="A109" s="2" t="s">
        <v>18</v>
      </c>
      <c r="B109">
        <v>1999</v>
      </c>
      <c r="C109" t="str">
        <f>VLOOKUP(B:B,'İş Dağılımı'!A:B,2,0)</f>
        <v>Gamze Öztürk</v>
      </c>
      <c r="D109" t="str">
        <f>VLOOKUP(B:B,'İş Dağılımı'!A:C,3,0)</f>
        <v>Engin Demir</v>
      </c>
      <c r="E109">
        <v>1725</v>
      </c>
      <c r="F109" t="str">
        <f>IFERROR(VLOOKUP(E:E,'Malzeme Listesi'!A:B,2,0),"")</f>
        <v>Deodorant</v>
      </c>
      <c r="G109" s="1">
        <f>VLOOKUP(E:E,'Malzeme Listesi'!A:C,3,0)</f>
        <v>37</v>
      </c>
      <c r="H109">
        <v>47</v>
      </c>
      <c r="I109" s="1">
        <f t="shared" si="1"/>
        <v>1739</v>
      </c>
    </row>
    <row r="110" spans="1:9" x14ac:dyDescent="0.25">
      <c r="A110" s="2" t="s">
        <v>18</v>
      </c>
      <c r="B110">
        <v>2000</v>
      </c>
      <c r="C110" t="str">
        <f>VLOOKUP(B:B,'İş Dağılımı'!A:B,2,0)</f>
        <v>Melike Kara</v>
      </c>
      <c r="D110" t="str">
        <f>VLOOKUP(B:B,'İş Dağılımı'!A:C,3,0)</f>
        <v>Aslı Balcı</v>
      </c>
      <c r="E110">
        <v>1465</v>
      </c>
      <c r="F110" t="str">
        <f>IFERROR(VLOOKUP(E:E,'Malzeme Listesi'!A:B,2,0),"")</f>
        <v>Şampuan</v>
      </c>
      <c r="G110" s="1">
        <f>VLOOKUP(E:E,'Malzeme Listesi'!A:C,3,0)</f>
        <v>12</v>
      </c>
      <c r="H110">
        <v>1</v>
      </c>
      <c r="I110" s="1">
        <f t="shared" si="1"/>
        <v>12</v>
      </c>
    </row>
    <row r="111" spans="1:9" x14ac:dyDescent="0.25">
      <c r="A111" s="2" t="s">
        <v>18</v>
      </c>
      <c r="B111">
        <v>2000</v>
      </c>
      <c r="C111" t="str">
        <f>VLOOKUP(B:B,'İş Dağılımı'!A:B,2,0)</f>
        <v>Melike Kara</v>
      </c>
      <c r="D111" t="str">
        <f>VLOOKUP(B:B,'İş Dağılımı'!A:C,3,0)</f>
        <v>Aslı Balcı</v>
      </c>
      <c r="E111">
        <v>1246</v>
      </c>
      <c r="F111" t="str">
        <f>IFERROR(VLOOKUP(E:E,'Malzeme Listesi'!A:B,2,0),"")</f>
        <v>Parfüm</v>
      </c>
      <c r="G111" s="1">
        <f>VLOOKUP(E:E,'Malzeme Listesi'!A:C,3,0)</f>
        <v>20</v>
      </c>
      <c r="H111">
        <v>32</v>
      </c>
      <c r="I111" s="1">
        <f t="shared" si="1"/>
        <v>640</v>
      </c>
    </row>
    <row r="112" spans="1:9" x14ac:dyDescent="0.25">
      <c r="A112" s="2" t="s">
        <v>18</v>
      </c>
      <c r="B112">
        <v>2000</v>
      </c>
      <c r="C112" t="str">
        <f>VLOOKUP(B:B,'İş Dağılımı'!A:B,2,0)</f>
        <v>Melike Kara</v>
      </c>
      <c r="D112" t="str">
        <f>VLOOKUP(B:B,'İş Dağılımı'!A:C,3,0)</f>
        <v>Aslı Balcı</v>
      </c>
      <c r="E112">
        <v>1725</v>
      </c>
      <c r="F112" t="str">
        <f>IFERROR(VLOOKUP(E:E,'Malzeme Listesi'!A:B,2,0),"")</f>
        <v>Deodorant</v>
      </c>
      <c r="G112" s="1">
        <f>VLOOKUP(E:E,'Malzeme Listesi'!A:C,3,0)</f>
        <v>37</v>
      </c>
      <c r="H112">
        <v>16</v>
      </c>
      <c r="I112" s="1">
        <f t="shared" si="1"/>
        <v>592</v>
      </c>
    </row>
    <row r="113" spans="1:9" x14ac:dyDescent="0.25">
      <c r="A113" s="2" t="s">
        <v>18</v>
      </c>
      <c r="B113">
        <v>2001</v>
      </c>
      <c r="C113" t="str">
        <f>VLOOKUP(B:B,'İş Dağılımı'!A:B,2,0)</f>
        <v>Emine Şimşek</v>
      </c>
      <c r="D113" t="str">
        <f>VLOOKUP(B:B,'İş Dağılımı'!A:C,3,0)</f>
        <v>Aslı Balcı</v>
      </c>
      <c r="E113">
        <v>1465</v>
      </c>
      <c r="F113" t="str">
        <f>IFERROR(VLOOKUP(E:E,'Malzeme Listesi'!A:B,2,0),"")</f>
        <v>Şampuan</v>
      </c>
      <c r="G113" s="1">
        <f>VLOOKUP(E:E,'Malzeme Listesi'!A:C,3,0)</f>
        <v>12</v>
      </c>
      <c r="H113">
        <v>29</v>
      </c>
      <c r="I113" s="1">
        <f t="shared" si="1"/>
        <v>348</v>
      </c>
    </row>
    <row r="114" spans="1:9" x14ac:dyDescent="0.25">
      <c r="A114" s="2" t="s">
        <v>18</v>
      </c>
      <c r="B114">
        <v>2001</v>
      </c>
      <c r="C114" t="str">
        <f>VLOOKUP(B:B,'İş Dağılımı'!A:B,2,0)</f>
        <v>Emine Şimşek</v>
      </c>
      <c r="D114" t="str">
        <f>VLOOKUP(B:B,'İş Dağılımı'!A:C,3,0)</f>
        <v>Aslı Balcı</v>
      </c>
      <c r="E114">
        <v>1246</v>
      </c>
      <c r="F114" t="str">
        <f>IFERROR(VLOOKUP(E:E,'Malzeme Listesi'!A:B,2,0),"")</f>
        <v>Parfüm</v>
      </c>
      <c r="G114" s="1">
        <f>VLOOKUP(E:E,'Malzeme Listesi'!A:C,3,0)</f>
        <v>20</v>
      </c>
      <c r="H114">
        <v>17</v>
      </c>
      <c r="I114" s="1">
        <f t="shared" si="1"/>
        <v>340</v>
      </c>
    </row>
    <row r="115" spans="1:9" x14ac:dyDescent="0.25">
      <c r="A115" s="2" t="s">
        <v>18</v>
      </c>
      <c r="B115">
        <v>2001</v>
      </c>
      <c r="C115" t="str">
        <f>VLOOKUP(B:B,'İş Dağılımı'!A:B,2,0)</f>
        <v>Emine Şimşek</v>
      </c>
      <c r="D115" t="str">
        <f>VLOOKUP(B:B,'İş Dağılımı'!A:C,3,0)</f>
        <v>Aslı Balcı</v>
      </c>
      <c r="E115">
        <v>1725</v>
      </c>
      <c r="F115" t="str">
        <f>IFERROR(VLOOKUP(E:E,'Malzeme Listesi'!A:B,2,0),"")</f>
        <v>Deodorant</v>
      </c>
      <c r="G115" s="1">
        <f>VLOOKUP(E:E,'Malzeme Listesi'!A:C,3,0)</f>
        <v>37</v>
      </c>
      <c r="H115">
        <v>3</v>
      </c>
      <c r="I115" s="1">
        <f t="shared" si="1"/>
        <v>111</v>
      </c>
    </row>
    <row r="116" spans="1:9" x14ac:dyDescent="0.25">
      <c r="A116" s="2" t="s">
        <v>18</v>
      </c>
      <c r="B116">
        <v>2002</v>
      </c>
      <c r="C116" t="str">
        <f>VLOOKUP(B:B,'İş Dağılımı'!A:B,2,0)</f>
        <v>Adem Yıldız</v>
      </c>
      <c r="D116" t="str">
        <f>VLOOKUP(B:B,'İş Dağılımı'!A:C,3,0)</f>
        <v>Engin Demir</v>
      </c>
      <c r="E116">
        <v>1465</v>
      </c>
      <c r="F116" t="str">
        <f>IFERROR(VLOOKUP(E:E,'Malzeme Listesi'!A:B,2,0),"")</f>
        <v>Şampuan</v>
      </c>
      <c r="G116" s="1">
        <f>VLOOKUP(E:E,'Malzeme Listesi'!A:C,3,0)</f>
        <v>12</v>
      </c>
      <c r="H116">
        <v>28</v>
      </c>
      <c r="I116" s="1">
        <f t="shared" si="1"/>
        <v>336</v>
      </c>
    </row>
    <row r="117" spans="1:9" x14ac:dyDescent="0.25">
      <c r="A117" s="2" t="s">
        <v>18</v>
      </c>
      <c r="B117">
        <v>2002</v>
      </c>
      <c r="C117" t="str">
        <f>VLOOKUP(B:B,'İş Dağılımı'!A:B,2,0)</f>
        <v>Adem Yıldız</v>
      </c>
      <c r="D117" t="str">
        <f>VLOOKUP(B:B,'İş Dağılımı'!A:C,3,0)</f>
        <v>Engin Demir</v>
      </c>
      <c r="E117">
        <v>1246</v>
      </c>
      <c r="F117" t="str">
        <f>IFERROR(VLOOKUP(E:E,'Malzeme Listesi'!A:B,2,0),"")</f>
        <v>Parfüm</v>
      </c>
      <c r="G117" s="1">
        <f>VLOOKUP(E:E,'Malzeme Listesi'!A:C,3,0)</f>
        <v>20</v>
      </c>
      <c r="H117">
        <v>7</v>
      </c>
      <c r="I117" s="1">
        <f t="shared" si="1"/>
        <v>140</v>
      </c>
    </row>
    <row r="118" spans="1:9" x14ac:dyDescent="0.25">
      <c r="A118" s="2" t="s">
        <v>18</v>
      </c>
      <c r="B118">
        <v>2002</v>
      </c>
      <c r="C118" t="str">
        <f>VLOOKUP(B:B,'İş Dağılımı'!A:B,2,0)</f>
        <v>Adem Yıldız</v>
      </c>
      <c r="D118" t="str">
        <f>VLOOKUP(B:B,'İş Dağılımı'!A:C,3,0)</f>
        <v>Engin Demir</v>
      </c>
      <c r="E118">
        <v>1725</v>
      </c>
      <c r="F118" t="str">
        <f>IFERROR(VLOOKUP(E:E,'Malzeme Listesi'!A:B,2,0),"")</f>
        <v>Deodorant</v>
      </c>
      <c r="G118" s="1">
        <f>VLOOKUP(E:E,'Malzeme Listesi'!A:C,3,0)</f>
        <v>37</v>
      </c>
      <c r="H118">
        <v>27</v>
      </c>
      <c r="I118" s="1">
        <f t="shared" si="1"/>
        <v>999</v>
      </c>
    </row>
    <row r="119" spans="1:9" x14ac:dyDescent="0.25">
      <c r="A119" s="2" t="s">
        <v>18</v>
      </c>
      <c r="B119">
        <v>2003</v>
      </c>
      <c r="C119" t="str">
        <f>VLOOKUP(B:B,'İş Dağılımı'!A:B,2,0)</f>
        <v>İbrahim Vural</v>
      </c>
      <c r="D119" t="str">
        <f>VLOOKUP(B:B,'İş Dağılımı'!A:C,3,0)</f>
        <v>Engin Demir</v>
      </c>
      <c r="E119">
        <v>1465</v>
      </c>
      <c r="F119" t="str">
        <f>IFERROR(VLOOKUP(E:E,'Malzeme Listesi'!A:B,2,0),"")</f>
        <v>Şampuan</v>
      </c>
      <c r="G119" s="1">
        <f>VLOOKUP(E:E,'Malzeme Listesi'!A:C,3,0)</f>
        <v>12</v>
      </c>
      <c r="H119">
        <v>4</v>
      </c>
      <c r="I119" s="1">
        <f t="shared" si="1"/>
        <v>48</v>
      </c>
    </row>
    <row r="120" spans="1:9" x14ac:dyDescent="0.25">
      <c r="A120" s="2" t="s">
        <v>18</v>
      </c>
      <c r="B120">
        <v>2003</v>
      </c>
      <c r="C120" t="str">
        <f>VLOOKUP(B:B,'İş Dağılımı'!A:B,2,0)</f>
        <v>İbrahim Vural</v>
      </c>
      <c r="D120" t="str">
        <f>VLOOKUP(B:B,'İş Dağılımı'!A:C,3,0)</f>
        <v>Engin Demir</v>
      </c>
      <c r="E120">
        <v>1246</v>
      </c>
      <c r="F120" t="str">
        <f>IFERROR(VLOOKUP(E:E,'Malzeme Listesi'!A:B,2,0),"")</f>
        <v>Parfüm</v>
      </c>
      <c r="G120" s="1">
        <f>VLOOKUP(E:E,'Malzeme Listesi'!A:C,3,0)</f>
        <v>20</v>
      </c>
      <c r="H120">
        <v>41</v>
      </c>
      <c r="I120" s="1">
        <f t="shared" si="1"/>
        <v>820</v>
      </c>
    </row>
    <row r="121" spans="1:9" x14ac:dyDescent="0.25">
      <c r="A121" s="2" t="s">
        <v>18</v>
      </c>
      <c r="B121">
        <v>2003</v>
      </c>
      <c r="C121" t="str">
        <f>VLOOKUP(B:B,'İş Dağılımı'!A:B,2,0)</f>
        <v>İbrahim Vural</v>
      </c>
      <c r="D121" t="str">
        <f>VLOOKUP(B:B,'İş Dağılımı'!A:C,3,0)</f>
        <v>Engin Demir</v>
      </c>
      <c r="E121">
        <v>1725</v>
      </c>
      <c r="F121" t="str">
        <f>IFERROR(VLOOKUP(E:E,'Malzeme Listesi'!A:B,2,0),"")</f>
        <v>Deodorant</v>
      </c>
      <c r="G121" s="1">
        <f>VLOOKUP(E:E,'Malzeme Listesi'!A:C,3,0)</f>
        <v>37</v>
      </c>
      <c r="H121">
        <v>4</v>
      </c>
      <c r="I121" s="1">
        <f t="shared" si="1"/>
        <v>148</v>
      </c>
    </row>
    <row r="122" spans="1:9" x14ac:dyDescent="0.25">
      <c r="A122" s="2" t="s">
        <v>18</v>
      </c>
      <c r="B122">
        <v>2004</v>
      </c>
      <c r="C122" t="str">
        <f>VLOOKUP(B:B,'İş Dağılımı'!A:B,2,0)</f>
        <v>Mehmet Sodacı</v>
      </c>
      <c r="D122" t="str">
        <f>VLOOKUP(B:B,'İş Dağılımı'!A:C,3,0)</f>
        <v>Engin Demir</v>
      </c>
      <c r="E122">
        <v>1465</v>
      </c>
      <c r="F122" t="str">
        <f>IFERROR(VLOOKUP(E:E,'Malzeme Listesi'!A:B,2,0),"")</f>
        <v>Şampuan</v>
      </c>
      <c r="G122" s="1">
        <f>VLOOKUP(E:E,'Malzeme Listesi'!A:C,3,0)</f>
        <v>12</v>
      </c>
      <c r="H122">
        <v>6</v>
      </c>
      <c r="I122" s="1">
        <f t="shared" si="1"/>
        <v>72</v>
      </c>
    </row>
    <row r="123" spans="1:9" x14ac:dyDescent="0.25">
      <c r="A123" s="2" t="s">
        <v>18</v>
      </c>
      <c r="B123">
        <v>2004</v>
      </c>
      <c r="C123" t="str">
        <f>VLOOKUP(B:B,'İş Dağılımı'!A:B,2,0)</f>
        <v>Mehmet Sodacı</v>
      </c>
      <c r="D123" t="str">
        <f>VLOOKUP(B:B,'İş Dağılımı'!A:C,3,0)</f>
        <v>Engin Demir</v>
      </c>
      <c r="E123">
        <v>1246</v>
      </c>
      <c r="F123" t="str">
        <f>IFERROR(VLOOKUP(E:E,'Malzeme Listesi'!A:B,2,0),"")</f>
        <v>Parfüm</v>
      </c>
      <c r="G123" s="1">
        <f>VLOOKUP(E:E,'Malzeme Listesi'!A:C,3,0)</f>
        <v>20</v>
      </c>
      <c r="H123">
        <v>42</v>
      </c>
      <c r="I123" s="1">
        <f t="shared" si="1"/>
        <v>840</v>
      </c>
    </row>
    <row r="124" spans="1:9" x14ac:dyDescent="0.25">
      <c r="A124" s="2" t="s">
        <v>18</v>
      </c>
      <c r="B124">
        <v>2004</v>
      </c>
      <c r="C124" t="str">
        <f>VLOOKUP(B:B,'İş Dağılımı'!A:B,2,0)</f>
        <v>Mehmet Sodacı</v>
      </c>
      <c r="D124" t="str">
        <f>VLOOKUP(B:B,'İş Dağılımı'!A:C,3,0)</f>
        <v>Engin Demir</v>
      </c>
      <c r="E124">
        <v>1725</v>
      </c>
      <c r="F124" t="str">
        <f>IFERROR(VLOOKUP(E:E,'Malzeme Listesi'!A:B,2,0),"")</f>
        <v>Deodorant</v>
      </c>
      <c r="G124" s="1">
        <f>VLOOKUP(E:E,'Malzeme Listesi'!A:C,3,0)</f>
        <v>37</v>
      </c>
      <c r="H124">
        <v>25</v>
      </c>
      <c r="I124" s="1">
        <f t="shared" si="1"/>
        <v>925</v>
      </c>
    </row>
    <row r="125" spans="1:9" x14ac:dyDescent="0.25">
      <c r="A125" s="2" t="s">
        <v>18</v>
      </c>
      <c r="B125">
        <v>2005</v>
      </c>
      <c r="C125" t="str">
        <f>VLOOKUP(B:B,'İş Dağılımı'!A:B,2,0)</f>
        <v>Mete Özak</v>
      </c>
      <c r="D125" t="str">
        <f>VLOOKUP(B:B,'İş Dağılımı'!A:C,3,0)</f>
        <v>Kadri Işık</v>
      </c>
      <c r="E125">
        <v>1465</v>
      </c>
      <c r="F125" t="str">
        <f>IFERROR(VLOOKUP(E:E,'Malzeme Listesi'!A:B,2,0),"")</f>
        <v>Şampuan</v>
      </c>
      <c r="G125" s="1">
        <f>VLOOKUP(E:E,'Malzeme Listesi'!A:C,3,0)</f>
        <v>12</v>
      </c>
      <c r="H125">
        <v>39</v>
      </c>
      <c r="I125" s="1">
        <f t="shared" si="1"/>
        <v>468</v>
      </c>
    </row>
    <row r="126" spans="1:9" x14ac:dyDescent="0.25">
      <c r="A126" s="2" t="s">
        <v>18</v>
      </c>
      <c r="B126">
        <v>2005</v>
      </c>
      <c r="C126" t="str">
        <f>VLOOKUP(B:B,'İş Dağılımı'!A:B,2,0)</f>
        <v>Mete Özak</v>
      </c>
      <c r="D126" t="str">
        <f>VLOOKUP(B:B,'İş Dağılımı'!A:C,3,0)</f>
        <v>Kadri Işık</v>
      </c>
      <c r="E126">
        <v>1246</v>
      </c>
      <c r="F126" t="str">
        <f>IFERROR(VLOOKUP(E:E,'Malzeme Listesi'!A:B,2,0),"")</f>
        <v>Parfüm</v>
      </c>
      <c r="G126" s="1">
        <f>VLOOKUP(E:E,'Malzeme Listesi'!A:C,3,0)</f>
        <v>20</v>
      </c>
      <c r="H126">
        <v>20</v>
      </c>
      <c r="I126" s="1">
        <f t="shared" si="1"/>
        <v>400</v>
      </c>
    </row>
    <row r="127" spans="1:9" x14ac:dyDescent="0.25">
      <c r="A127" s="2" t="s">
        <v>18</v>
      </c>
      <c r="B127">
        <v>2005</v>
      </c>
      <c r="C127" t="str">
        <f>VLOOKUP(B:B,'İş Dağılımı'!A:B,2,0)</f>
        <v>Mete Özak</v>
      </c>
      <c r="D127" t="str">
        <f>VLOOKUP(B:B,'İş Dağılımı'!A:C,3,0)</f>
        <v>Kadri Işık</v>
      </c>
      <c r="E127">
        <v>1725</v>
      </c>
      <c r="F127" t="str">
        <f>IFERROR(VLOOKUP(E:E,'Malzeme Listesi'!A:B,2,0),"")</f>
        <v>Deodorant</v>
      </c>
      <c r="G127" s="1">
        <f>VLOOKUP(E:E,'Malzeme Listesi'!A:C,3,0)</f>
        <v>37</v>
      </c>
      <c r="H127">
        <v>5</v>
      </c>
      <c r="I127" s="1">
        <f t="shared" si="1"/>
        <v>185</v>
      </c>
    </row>
    <row r="128" spans="1:9" x14ac:dyDescent="0.25">
      <c r="A128" s="2" t="s">
        <v>18</v>
      </c>
      <c r="B128">
        <v>2006</v>
      </c>
      <c r="C128" t="str">
        <f>VLOOKUP(B:B,'İş Dağılımı'!A:B,2,0)</f>
        <v>Fatih Güldüren</v>
      </c>
      <c r="D128" t="str">
        <f>VLOOKUP(B:B,'İş Dağılımı'!A:C,3,0)</f>
        <v>Aslı Balcı</v>
      </c>
      <c r="E128">
        <v>1465</v>
      </c>
      <c r="F128" t="str">
        <f>IFERROR(VLOOKUP(E:E,'Malzeme Listesi'!A:B,2,0),"")</f>
        <v>Şampuan</v>
      </c>
      <c r="G128" s="1">
        <f>VLOOKUP(E:E,'Malzeme Listesi'!A:C,3,0)</f>
        <v>12</v>
      </c>
      <c r="H128">
        <v>8</v>
      </c>
      <c r="I128" s="1">
        <f t="shared" si="1"/>
        <v>96</v>
      </c>
    </row>
    <row r="129" spans="1:9" x14ac:dyDescent="0.25">
      <c r="A129" s="2" t="s">
        <v>18</v>
      </c>
      <c r="B129">
        <v>2006</v>
      </c>
      <c r="C129" t="str">
        <f>VLOOKUP(B:B,'İş Dağılımı'!A:B,2,0)</f>
        <v>Fatih Güldüren</v>
      </c>
      <c r="D129" t="str">
        <f>VLOOKUP(B:B,'İş Dağılımı'!A:C,3,0)</f>
        <v>Aslı Balcı</v>
      </c>
      <c r="E129">
        <v>1246</v>
      </c>
      <c r="F129" t="str">
        <f>IFERROR(VLOOKUP(E:E,'Malzeme Listesi'!A:B,2,0),"")</f>
        <v>Parfüm</v>
      </c>
      <c r="G129" s="1">
        <f>VLOOKUP(E:E,'Malzeme Listesi'!A:C,3,0)</f>
        <v>20</v>
      </c>
      <c r="H129">
        <v>42</v>
      </c>
      <c r="I129" s="1">
        <f t="shared" si="1"/>
        <v>840</v>
      </c>
    </row>
    <row r="130" spans="1:9" x14ac:dyDescent="0.25">
      <c r="A130" s="2" t="s">
        <v>18</v>
      </c>
      <c r="B130">
        <v>2006</v>
      </c>
      <c r="C130" t="str">
        <f>VLOOKUP(B:B,'İş Dağılımı'!A:B,2,0)</f>
        <v>Fatih Güldüren</v>
      </c>
      <c r="D130" t="str">
        <f>VLOOKUP(B:B,'İş Dağılımı'!A:C,3,0)</f>
        <v>Aslı Balcı</v>
      </c>
      <c r="E130">
        <v>1725</v>
      </c>
      <c r="F130" t="str">
        <f>IFERROR(VLOOKUP(E:E,'Malzeme Listesi'!A:B,2,0),"")</f>
        <v>Deodorant</v>
      </c>
      <c r="G130" s="1">
        <f>VLOOKUP(E:E,'Malzeme Listesi'!A:C,3,0)</f>
        <v>37</v>
      </c>
      <c r="H130">
        <v>6</v>
      </c>
      <c r="I130" s="1">
        <f t="shared" ref="I130:I193" si="2">H130*G130</f>
        <v>222</v>
      </c>
    </row>
    <row r="131" spans="1:9" x14ac:dyDescent="0.25">
      <c r="A131" s="2" t="s">
        <v>18</v>
      </c>
      <c r="B131">
        <v>2007</v>
      </c>
      <c r="C131" t="str">
        <f>VLOOKUP(B:B,'İş Dağılımı'!A:B,2,0)</f>
        <v>Zeynep Yetişen</v>
      </c>
      <c r="D131" t="str">
        <f>VLOOKUP(B:B,'İş Dağılımı'!A:C,3,0)</f>
        <v>Engin Demir</v>
      </c>
      <c r="E131">
        <v>1465</v>
      </c>
      <c r="F131" t="str">
        <f>IFERROR(VLOOKUP(E:E,'Malzeme Listesi'!A:B,2,0),"")</f>
        <v>Şampuan</v>
      </c>
      <c r="G131" s="1">
        <f>VLOOKUP(E:E,'Malzeme Listesi'!A:C,3,0)</f>
        <v>12</v>
      </c>
      <c r="H131">
        <v>7</v>
      </c>
      <c r="I131" s="1">
        <f t="shared" si="2"/>
        <v>84</v>
      </c>
    </row>
    <row r="132" spans="1:9" x14ac:dyDescent="0.25">
      <c r="A132" s="2" t="s">
        <v>18</v>
      </c>
      <c r="B132">
        <v>2007</v>
      </c>
      <c r="C132" t="str">
        <f>VLOOKUP(B:B,'İş Dağılımı'!A:B,2,0)</f>
        <v>Zeynep Yetişen</v>
      </c>
      <c r="D132" t="str">
        <f>VLOOKUP(B:B,'İş Dağılımı'!A:C,3,0)</f>
        <v>Engin Demir</v>
      </c>
      <c r="E132">
        <v>1246</v>
      </c>
      <c r="F132" t="str">
        <f>IFERROR(VLOOKUP(E:E,'Malzeme Listesi'!A:B,2,0),"")</f>
        <v>Parfüm</v>
      </c>
      <c r="G132" s="1">
        <f>VLOOKUP(E:E,'Malzeme Listesi'!A:C,3,0)</f>
        <v>20</v>
      </c>
      <c r="H132">
        <v>8</v>
      </c>
      <c r="I132" s="1">
        <f t="shared" si="2"/>
        <v>160</v>
      </c>
    </row>
    <row r="133" spans="1:9" x14ac:dyDescent="0.25">
      <c r="A133" s="2" t="s">
        <v>18</v>
      </c>
      <c r="B133">
        <v>2007</v>
      </c>
      <c r="C133" t="str">
        <f>VLOOKUP(B:B,'İş Dağılımı'!A:B,2,0)</f>
        <v>Zeynep Yetişen</v>
      </c>
      <c r="D133" t="str">
        <f>VLOOKUP(B:B,'İş Dağılımı'!A:C,3,0)</f>
        <v>Engin Demir</v>
      </c>
      <c r="E133">
        <v>1725</v>
      </c>
      <c r="F133" t="str">
        <f>IFERROR(VLOOKUP(E:E,'Malzeme Listesi'!A:B,2,0),"")</f>
        <v>Deodorant</v>
      </c>
      <c r="G133" s="1">
        <f>VLOOKUP(E:E,'Malzeme Listesi'!A:C,3,0)</f>
        <v>37</v>
      </c>
      <c r="H133">
        <v>9</v>
      </c>
      <c r="I133" s="1">
        <f t="shared" si="2"/>
        <v>333</v>
      </c>
    </row>
    <row r="134" spans="1:9" x14ac:dyDescent="0.25">
      <c r="A134" s="2" t="s">
        <v>18</v>
      </c>
      <c r="B134">
        <v>2008</v>
      </c>
      <c r="C134" t="str">
        <f>VLOOKUP(B:B,'İş Dağılımı'!A:B,2,0)</f>
        <v>Ediz Ekin</v>
      </c>
      <c r="D134" t="str">
        <f>VLOOKUP(B:B,'İş Dağılımı'!A:C,3,0)</f>
        <v>Kadri Işık</v>
      </c>
      <c r="E134">
        <v>1465</v>
      </c>
      <c r="F134" t="str">
        <f>IFERROR(VLOOKUP(E:E,'Malzeme Listesi'!A:B,2,0),"")</f>
        <v>Şampuan</v>
      </c>
      <c r="G134" s="1">
        <f>VLOOKUP(E:E,'Malzeme Listesi'!A:C,3,0)</f>
        <v>12</v>
      </c>
      <c r="H134">
        <v>22</v>
      </c>
      <c r="I134" s="1">
        <f t="shared" si="2"/>
        <v>264</v>
      </c>
    </row>
    <row r="135" spans="1:9" x14ac:dyDescent="0.25">
      <c r="A135" s="2" t="s">
        <v>18</v>
      </c>
      <c r="B135">
        <v>2008</v>
      </c>
      <c r="C135" t="str">
        <f>VLOOKUP(B:B,'İş Dağılımı'!A:B,2,0)</f>
        <v>Ediz Ekin</v>
      </c>
      <c r="D135" t="str">
        <f>VLOOKUP(B:B,'İş Dağılımı'!A:C,3,0)</f>
        <v>Kadri Işık</v>
      </c>
      <c r="E135">
        <v>1246</v>
      </c>
      <c r="F135" t="str">
        <f>IFERROR(VLOOKUP(E:E,'Malzeme Listesi'!A:B,2,0),"")</f>
        <v>Parfüm</v>
      </c>
      <c r="G135" s="1">
        <f>VLOOKUP(E:E,'Malzeme Listesi'!A:C,3,0)</f>
        <v>20</v>
      </c>
      <c r="H135">
        <v>11</v>
      </c>
      <c r="I135" s="1">
        <f t="shared" si="2"/>
        <v>220</v>
      </c>
    </row>
    <row r="136" spans="1:9" x14ac:dyDescent="0.25">
      <c r="A136" s="2" t="s">
        <v>18</v>
      </c>
      <c r="B136">
        <v>2008</v>
      </c>
      <c r="C136" t="str">
        <f>VLOOKUP(B:B,'İş Dağılımı'!A:B,2,0)</f>
        <v>Ediz Ekin</v>
      </c>
      <c r="D136" t="str">
        <f>VLOOKUP(B:B,'İş Dağılımı'!A:C,3,0)</f>
        <v>Kadri Işık</v>
      </c>
      <c r="E136">
        <v>1725</v>
      </c>
      <c r="F136" t="str">
        <f>IFERROR(VLOOKUP(E:E,'Malzeme Listesi'!A:B,2,0),"")</f>
        <v>Deodorant</v>
      </c>
      <c r="G136" s="1">
        <f>VLOOKUP(E:E,'Malzeme Listesi'!A:C,3,0)</f>
        <v>37</v>
      </c>
      <c r="H136">
        <v>47</v>
      </c>
      <c r="I136" s="1">
        <f t="shared" si="2"/>
        <v>1739</v>
      </c>
    </row>
    <row r="137" spans="1:9" x14ac:dyDescent="0.25">
      <c r="A137" s="2" t="s">
        <v>18</v>
      </c>
      <c r="B137">
        <v>2009</v>
      </c>
      <c r="C137" t="str">
        <f>VLOOKUP(B:B,'İş Dağılımı'!A:B,2,0)</f>
        <v>Alper Çakır</v>
      </c>
      <c r="D137" t="str">
        <f>VLOOKUP(B:B,'İş Dağılımı'!A:C,3,0)</f>
        <v>Kadri Işık</v>
      </c>
      <c r="E137">
        <v>1465</v>
      </c>
      <c r="F137" t="str">
        <f>IFERROR(VLOOKUP(E:E,'Malzeme Listesi'!A:B,2,0),"")</f>
        <v>Şampuan</v>
      </c>
      <c r="G137" s="1">
        <f>VLOOKUP(E:E,'Malzeme Listesi'!A:C,3,0)</f>
        <v>12</v>
      </c>
      <c r="H137">
        <v>9</v>
      </c>
      <c r="I137" s="1">
        <f t="shared" si="2"/>
        <v>108</v>
      </c>
    </row>
    <row r="138" spans="1:9" x14ac:dyDescent="0.25">
      <c r="A138" s="2" t="s">
        <v>18</v>
      </c>
      <c r="B138">
        <v>2009</v>
      </c>
      <c r="C138" t="str">
        <f>VLOOKUP(B:B,'İş Dağılımı'!A:B,2,0)</f>
        <v>Alper Çakır</v>
      </c>
      <c r="D138" t="str">
        <f>VLOOKUP(B:B,'İş Dağılımı'!A:C,3,0)</f>
        <v>Kadri Işık</v>
      </c>
      <c r="E138">
        <v>1246</v>
      </c>
      <c r="F138" t="str">
        <f>IFERROR(VLOOKUP(E:E,'Malzeme Listesi'!A:B,2,0),"")</f>
        <v>Parfüm</v>
      </c>
      <c r="G138" s="1">
        <f>VLOOKUP(E:E,'Malzeme Listesi'!A:C,3,0)</f>
        <v>20</v>
      </c>
      <c r="H138">
        <v>4</v>
      </c>
      <c r="I138" s="1">
        <f t="shared" si="2"/>
        <v>80</v>
      </c>
    </row>
    <row r="139" spans="1:9" x14ac:dyDescent="0.25">
      <c r="A139" s="2" t="s">
        <v>18</v>
      </c>
      <c r="B139">
        <v>2009</v>
      </c>
      <c r="C139" t="str">
        <f>VLOOKUP(B:B,'İş Dağılımı'!A:B,2,0)</f>
        <v>Alper Çakır</v>
      </c>
      <c r="D139" t="str">
        <f>VLOOKUP(B:B,'İş Dağılımı'!A:C,3,0)</f>
        <v>Kadri Işık</v>
      </c>
      <c r="E139">
        <v>1725</v>
      </c>
      <c r="F139" t="str">
        <f>IFERROR(VLOOKUP(E:E,'Malzeme Listesi'!A:B,2,0),"")</f>
        <v>Deodorant</v>
      </c>
      <c r="G139" s="1">
        <f>VLOOKUP(E:E,'Malzeme Listesi'!A:C,3,0)</f>
        <v>37</v>
      </c>
      <c r="H139">
        <v>25</v>
      </c>
      <c r="I139" s="1">
        <f t="shared" si="2"/>
        <v>925</v>
      </c>
    </row>
    <row r="140" spans="1:9" x14ac:dyDescent="0.25">
      <c r="A140" s="2" t="s">
        <v>18</v>
      </c>
      <c r="B140">
        <v>2010</v>
      </c>
      <c r="C140" t="str">
        <f>VLOOKUP(B:B,'İş Dağılımı'!A:B,2,0)</f>
        <v>Enver Toprak</v>
      </c>
      <c r="D140" t="str">
        <f>VLOOKUP(B:B,'İş Dağılımı'!A:C,3,0)</f>
        <v>Aslı Balcı</v>
      </c>
      <c r="E140">
        <v>1465</v>
      </c>
      <c r="F140" t="str">
        <f>IFERROR(VLOOKUP(E:E,'Malzeme Listesi'!A:B,2,0),"")</f>
        <v>Şampuan</v>
      </c>
      <c r="G140" s="1">
        <f>VLOOKUP(E:E,'Malzeme Listesi'!A:C,3,0)</f>
        <v>12</v>
      </c>
      <c r="H140">
        <v>0</v>
      </c>
      <c r="I140" s="1">
        <f t="shared" si="2"/>
        <v>0</v>
      </c>
    </row>
    <row r="141" spans="1:9" x14ac:dyDescent="0.25">
      <c r="A141" s="2" t="s">
        <v>18</v>
      </c>
      <c r="B141">
        <v>2010</v>
      </c>
      <c r="C141" t="str">
        <f>VLOOKUP(B:B,'İş Dağılımı'!A:B,2,0)</f>
        <v>Enver Toprak</v>
      </c>
      <c r="D141" t="str">
        <f>VLOOKUP(B:B,'İş Dağılımı'!A:C,3,0)</f>
        <v>Aslı Balcı</v>
      </c>
      <c r="E141">
        <v>1246</v>
      </c>
      <c r="F141" t="str">
        <f>IFERROR(VLOOKUP(E:E,'Malzeme Listesi'!A:B,2,0),"")</f>
        <v>Parfüm</v>
      </c>
      <c r="G141" s="1">
        <f>VLOOKUP(E:E,'Malzeme Listesi'!A:C,3,0)</f>
        <v>20</v>
      </c>
      <c r="H141">
        <v>24</v>
      </c>
      <c r="I141" s="1">
        <f t="shared" si="2"/>
        <v>480</v>
      </c>
    </row>
    <row r="142" spans="1:9" x14ac:dyDescent="0.25">
      <c r="A142" s="2" t="s">
        <v>18</v>
      </c>
      <c r="B142">
        <v>2010</v>
      </c>
      <c r="C142" t="str">
        <f>VLOOKUP(B:B,'İş Dağılımı'!A:B,2,0)</f>
        <v>Enver Toprak</v>
      </c>
      <c r="D142" t="str">
        <f>VLOOKUP(B:B,'İş Dağılımı'!A:C,3,0)</f>
        <v>Aslı Balcı</v>
      </c>
      <c r="E142">
        <v>1725</v>
      </c>
      <c r="F142" t="str">
        <f>IFERROR(VLOOKUP(E:E,'Malzeme Listesi'!A:B,2,0),"")</f>
        <v>Deodorant</v>
      </c>
      <c r="G142" s="1">
        <f>VLOOKUP(E:E,'Malzeme Listesi'!A:C,3,0)</f>
        <v>37</v>
      </c>
      <c r="H142">
        <v>30</v>
      </c>
      <c r="I142" s="1">
        <f t="shared" si="2"/>
        <v>1110</v>
      </c>
    </row>
    <row r="143" spans="1:9" x14ac:dyDescent="0.25">
      <c r="A143" s="2" t="s">
        <v>18</v>
      </c>
      <c r="B143">
        <v>2011</v>
      </c>
      <c r="C143" t="str">
        <f>VLOOKUP(B:B,'İş Dağılımı'!A:B,2,0)</f>
        <v>Recep Koca</v>
      </c>
      <c r="D143" t="str">
        <f>VLOOKUP(B:B,'İş Dağılımı'!A:C,3,0)</f>
        <v>Aslı Balcı</v>
      </c>
      <c r="E143">
        <v>1465</v>
      </c>
      <c r="F143" t="str">
        <f>IFERROR(VLOOKUP(E:E,'Malzeme Listesi'!A:B,2,0),"")</f>
        <v>Şampuan</v>
      </c>
      <c r="G143" s="1">
        <f>VLOOKUP(E:E,'Malzeme Listesi'!A:C,3,0)</f>
        <v>12</v>
      </c>
      <c r="H143">
        <v>11</v>
      </c>
      <c r="I143" s="1">
        <f t="shared" si="2"/>
        <v>132</v>
      </c>
    </row>
    <row r="144" spans="1:9" x14ac:dyDescent="0.25">
      <c r="A144" s="2" t="s">
        <v>18</v>
      </c>
      <c r="B144">
        <v>2011</v>
      </c>
      <c r="C144" t="str">
        <f>VLOOKUP(B:B,'İş Dağılımı'!A:B,2,0)</f>
        <v>Recep Koca</v>
      </c>
      <c r="D144" t="str">
        <f>VLOOKUP(B:B,'İş Dağılımı'!A:C,3,0)</f>
        <v>Aslı Balcı</v>
      </c>
      <c r="E144">
        <v>1246</v>
      </c>
      <c r="F144" t="str">
        <f>IFERROR(VLOOKUP(E:E,'Malzeme Listesi'!A:B,2,0),"")</f>
        <v>Parfüm</v>
      </c>
      <c r="G144" s="1">
        <f>VLOOKUP(E:E,'Malzeme Listesi'!A:C,3,0)</f>
        <v>20</v>
      </c>
      <c r="H144">
        <v>16</v>
      </c>
      <c r="I144" s="1">
        <f t="shared" si="2"/>
        <v>320</v>
      </c>
    </row>
    <row r="145" spans="1:9" x14ac:dyDescent="0.25">
      <c r="A145" s="2" t="s">
        <v>18</v>
      </c>
      <c r="B145">
        <v>2011</v>
      </c>
      <c r="C145" t="str">
        <f>VLOOKUP(B:B,'İş Dağılımı'!A:B,2,0)</f>
        <v>Recep Koca</v>
      </c>
      <c r="D145" t="str">
        <f>VLOOKUP(B:B,'İş Dağılımı'!A:C,3,0)</f>
        <v>Aslı Balcı</v>
      </c>
      <c r="E145">
        <v>1725</v>
      </c>
      <c r="F145" t="str">
        <f>IFERROR(VLOOKUP(E:E,'Malzeme Listesi'!A:B,2,0),"")</f>
        <v>Deodorant</v>
      </c>
      <c r="G145" s="1">
        <f>VLOOKUP(E:E,'Malzeme Listesi'!A:C,3,0)</f>
        <v>37</v>
      </c>
      <c r="H145">
        <v>14</v>
      </c>
      <c r="I145" s="1">
        <f t="shared" si="2"/>
        <v>518</v>
      </c>
    </row>
    <row r="146" spans="1:9" x14ac:dyDescent="0.25">
      <c r="A146" s="2" t="s">
        <v>18</v>
      </c>
      <c r="B146">
        <v>2012</v>
      </c>
      <c r="C146" t="str">
        <f>VLOOKUP(B:B,'İş Dağılımı'!A:B,2,0)</f>
        <v>Murat Maden</v>
      </c>
      <c r="D146" t="str">
        <f>VLOOKUP(B:B,'İş Dağılımı'!A:C,3,0)</f>
        <v>Kadri Işık</v>
      </c>
      <c r="E146">
        <v>1465</v>
      </c>
      <c r="F146" t="str">
        <f>IFERROR(VLOOKUP(E:E,'Malzeme Listesi'!A:B,2,0),"")</f>
        <v>Şampuan</v>
      </c>
      <c r="G146" s="1">
        <f>VLOOKUP(E:E,'Malzeme Listesi'!A:C,3,0)</f>
        <v>12</v>
      </c>
      <c r="H146">
        <v>20</v>
      </c>
      <c r="I146" s="1">
        <f t="shared" si="2"/>
        <v>240</v>
      </c>
    </row>
    <row r="147" spans="1:9" x14ac:dyDescent="0.25">
      <c r="A147" s="2" t="s">
        <v>18</v>
      </c>
      <c r="B147">
        <v>2012</v>
      </c>
      <c r="C147" t="str">
        <f>VLOOKUP(B:B,'İş Dağılımı'!A:B,2,0)</f>
        <v>Murat Maden</v>
      </c>
      <c r="D147" t="str">
        <f>VLOOKUP(B:B,'İş Dağılımı'!A:C,3,0)</f>
        <v>Kadri Işık</v>
      </c>
      <c r="E147">
        <v>1246</v>
      </c>
      <c r="F147" t="str">
        <f>IFERROR(VLOOKUP(E:E,'Malzeme Listesi'!A:B,2,0),"")</f>
        <v>Parfüm</v>
      </c>
      <c r="G147" s="1">
        <f>VLOOKUP(E:E,'Malzeme Listesi'!A:C,3,0)</f>
        <v>20</v>
      </c>
      <c r="H147">
        <v>20</v>
      </c>
      <c r="I147" s="1">
        <f t="shared" si="2"/>
        <v>400</v>
      </c>
    </row>
    <row r="148" spans="1:9" x14ac:dyDescent="0.25">
      <c r="A148" s="2" t="s">
        <v>18</v>
      </c>
      <c r="B148">
        <v>2012</v>
      </c>
      <c r="C148" t="str">
        <f>VLOOKUP(B:B,'İş Dağılımı'!A:B,2,0)</f>
        <v>Murat Maden</v>
      </c>
      <c r="D148" t="str">
        <f>VLOOKUP(B:B,'İş Dağılımı'!A:C,3,0)</f>
        <v>Kadri Işık</v>
      </c>
      <c r="E148">
        <v>1725</v>
      </c>
      <c r="F148" t="str">
        <f>IFERROR(VLOOKUP(E:E,'Malzeme Listesi'!A:B,2,0),"")</f>
        <v>Deodorant</v>
      </c>
      <c r="G148" s="1">
        <f>VLOOKUP(E:E,'Malzeme Listesi'!A:C,3,0)</f>
        <v>37</v>
      </c>
      <c r="H148">
        <v>20</v>
      </c>
      <c r="I148" s="1">
        <f t="shared" si="2"/>
        <v>740</v>
      </c>
    </row>
    <row r="149" spans="1:9" x14ac:dyDescent="0.25">
      <c r="A149" s="2" t="s">
        <v>18</v>
      </c>
      <c r="B149">
        <v>2013</v>
      </c>
      <c r="C149" t="str">
        <f>VLOOKUP(B:B,'İş Dağılımı'!A:B,2,0)</f>
        <v>Zeki Civan</v>
      </c>
      <c r="D149" t="str">
        <f>VLOOKUP(B:B,'İş Dağılımı'!A:C,3,0)</f>
        <v>Engin Demir</v>
      </c>
      <c r="E149">
        <v>1465</v>
      </c>
      <c r="F149" t="str">
        <f>IFERROR(VLOOKUP(E:E,'Malzeme Listesi'!A:B,2,0),"")</f>
        <v>Şampuan</v>
      </c>
      <c r="G149" s="1">
        <f>VLOOKUP(E:E,'Malzeme Listesi'!A:C,3,0)</f>
        <v>12</v>
      </c>
      <c r="H149">
        <v>13</v>
      </c>
      <c r="I149" s="1">
        <f t="shared" si="2"/>
        <v>156</v>
      </c>
    </row>
    <row r="150" spans="1:9" x14ac:dyDescent="0.25">
      <c r="A150" s="2" t="s">
        <v>18</v>
      </c>
      <c r="B150">
        <v>2013</v>
      </c>
      <c r="C150" t="str">
        <f>VLOOKUP(B:B,'İş Dağılımı'!A:B,2,0)</f>
        <v>Zeki Civan</v>
      </c>
      <c r="D150" t="str">
        <f>VLOOKUP(B:B,'İş Dağılımı'!A:C,3,0)</f>
        <v>Engin Demir</v>
      </c>
      <c r="E150">
        <v>1246</v>
      </c>
      <c r="F150" t="str">
        <f>IFERROR(VLOOKUP(E:E,'Malzeme Listesi'!A:B,2,0),"")</f>
        <v>Parfüm</v>
      </c>
      <c r="G150" s="1">
        <f>VLOOKUP(E:E,'Malzeme Listesi'!A:C,3,0)</f>
        <v>20</v>
      </c>
      <c r="H150">
        <v>5</v>
      </c>
      <c r="I150" s="1">
        <f t="shared" si="2"/>
        <v>100</v>
      </c>
    </row>
    <row r="151" spans="1:9" x14ac:dyDescent="0.25">
      <c r="A151" s="2" t="s">
        <v>18</v>
      </c>
      <c r="B151">
        <v>2013</v>
      </c>
      <c r="C151" t="str">
        <f>VLOOKUP(B:B,'İş Dağılımı'!A:B,2,0)</f>
        <v>Zeki Civan</v>
      </c>
      <c r="D151" t="str">
        <f>VLOOKUP(B:B,'İş Dağılımı'!A:C,3,0)</f>
        <v>Engin Demir</v>
      </c>
      <c r="E151">
        <v>1725</v>
      </c>
      <c r="F151" t="str">
        <f>IFERROR(VLOOKUP(E:E,'Malzeme Listesi'!A:B,2,0),"")</f>
        <v>Deodorant</v>
      </c>
      <c r="G151" s="1">
        <f>VLOOKUP(E:E,'Malzeme Listesi'!A:C,3,0)</f>
        <v>37</v>
      </c>
      <c r="H151">
        <v>32</v>
      </c>
      <c r="I151" s="1">
        <f t="shared" si="2"/>
        <v>1184</v>
      </c>
    </row>
    <row r="152" spans="1:9" x14ac:dyDescent="0.25">
      <c r="A152" s="2" t="s">
        <v>18</v>
      </c>
      <c r="B152">
        <v>2014</v>
      </c>
      <c r="C152" t="str">
        <f>VLOOKUP(B:B,'İş Dağılımı'!A:B,2,0)</f>
        <v>Gülsüm Çalışkan</v>
      </c>
      <c r="D152" t="str">
        <f>VLOOKUP(B:B,'İş Dağılımı'!A:C,3,0)</f>
        <v>Engin Demir</v>
      </c>
      <c r="E152">
        <v>1465</v>
      </c>
      <c r="F152" t="str">
        <f>IFERROR(VLOOKUP(E:E,'Malzeme Listesi'!A:B,2,0),"")</f>
        <v>Şampuan</v>
      </c>
      <c r="G152" s="1">
        <f>VLOOKUP(E:E,'Malzeme Listesi'!A:C,3,0)</f>
        <v>12</v>
      </c>
      <c r="H152">
        <v>50</v>
      </c>
      <c r="I152" s="1">
        <f t="shared" si="2"/>
        <v>600</v>
      </c>
    </row>
    <row r="153" spans="1:9" x14ac:dyDescent="0.25">
      <c r="A153" s="2" t="s">
        <v>18</v>
      </c>
      <c r="B153">
        <v>2014</v>
      </c>
      <c r="C153" t="str">
        <f>VLOOKUP(B:B,'İş Dağılımı'!A:B,2,0)</f>
        <v>Gülsüm Çalışkan</v>
      </c>
      <c r="D153" t="str">
        <f>VLOOKUP(B:B,'İş Dağılımı'!A:C,3,0)</f>
        <v>Engin Demir</v>
      </c>
      <c r="E153">
        <v>1246</v>
      </c>
      <c r="F153" t="str">
        <f>IFERROR(VLOOKUP(E:E,'Malzeme Listesi'!A:B,2,0),"")</f>
        <v>Parfüm</v>
      </c>
      <c r="G153" s="1">
        <f>VLOOKUP(E:E,'Malzeme Listesi'!A:C,3,0)</f>
        <v>20</v>
      </c>
      <c r="H153">
        <v>21</v>
      </c>
      <c r="I153" s="1">
        <f t="shared" si="2"/>
        <v>420</v>
      </c>
    </row>
    <row r="154" spans="1:9" x14ac:dyDescent="0.25">
      <c r="A154" s="2" t="s">
        <v>18</v>
      </c>
      <c r="B154">
        <v>2014</v>
      </c>
      <c r="C154" t="str">
        <f>VLOOKUP(B:B,'İş Dağılımı'!A:B,2,0)</f>
        <v>Gülsüm Çalışkan</v>
      </c>
      <c r="D154" t="str">
        <f>VLOOKUP(B:B,'İş Dağılımı'!A:C,3,0)</f>
        <v>Engin Demir</v>
      </c>
      <c r="E154">
        <v>1725</v>
      </c>
      <c r="F154" t="str">
        <f>IFERROR(VLOOKUP(E:E,'Malzeme Listesi'!A:B,2,0),"")</f>
        <v>Deodorant</v>
      </c>
      <c r="G154" s="1">
        <f>VLOOKUP(E:E,'Malzeme Listesi'!A:C,3,0)</f>
        <v>37</v>
      </c>
      <c r="H154">
        <v>42</v>
      </c>
      <c r="I154" s="1">
        <f t="shared" si="2"/>
        <v>1554</v>
      </c>
    </row>
    <row r="155" spans="1:9" x14ac:dyDescent="0.25">
      <c r="A155" s="2" t="s">
        <v>19</v>
      </c>
      <c r="B155">
        <v>1998</v>
      </c>
      <c r="C155" t="str">
        <f>VLOOKUP(B:B,'İş Dağılımı'!A:B,2,0)</f>
        <v>Ayşe Zengin</v>
      </c>
      <c r="D155" t="str">
        <f>VLOOKUP(B:B,'İş Dağılımı'!A:C,3,0)</f>
        <v>Kadri Işık</v>
      </c>
      <c r="E155">
        <v>1465</v>
      </c>
      <c r="F155" t="str">
        <f>IFERROR(VLOOKUP(E:E,'Malzeme Listesi'!A:B,2,0),"")</f>
        <v>Şampuan</v>
      </c>
      <c r="G155" s="1">
        <f>VLOOKUP(E:E,'Malzeme Listesi'!A:C,3,0)</f>
        <v>12</v>
      </c>
      <c r="H155">
        <v>33</v>
      </c>
      <c r="I155" s="1">
        <f t="shared" si="2"/>
        <v>396</v>
      </c>
    </row>
    <row r="156" spans="1:9" x14ac:dyDescent="0.25">
      <c r="A156" s="2" t="s">
        <v>19</v>
      </c>
      <c r="B156">
        <v>1998</v>
      </c>
      <c r="C156" t="str">
        <f>VLOOKUP(B:B,'İş Dağılımı'!A:B,2,0)</f>
        <v>Ayşe Zengin</v>
      </c>
      <c r="D156" t="str">
        <f>VLOOKUP(B:B,'İş Dağılımı'!A:C,3,0)</f>
        <v>Kadri Işık</v>
      </c>
      <c r="E156">
        <v>1246</v>
      </c>
      <c r="F156" t="str">
        <f>IFERROR(VLOOKUP(E:E,'Malzeme Listesi'!A:B,2,0),"")</f>
        <v>Parfüm</v>
      </c>
      <c r="G156" s="1">
        <f>VLOOKUP(E:E,'Malzeme Listesi'!A:C,3,0)</f>
        <v>20</v>
      </c>
      <c r="H156">
        <v>28</v>
      </c>
      <c r="I156" s="1">
        <f t="shared" si="2"/>
        <v>560</v>
      </c>
    </row>
    <row r="157" spans="1:9" x14ac:dyDescent="0.25">
      <c r="A157" s="2" t="s">
        <v>19</v>
      </c>
      <c r="B157">
        <v>1998</v>
      </c>
      <c r="C157" t="str">
        <f>VLOOKUP(B:B,'İş Dağılımı'!A:B,2,0)</f>
        <v>Ayşe Zengin</v>
      </c>
      <c r="D157" t="str">
        <f>VLOOKUP(B:B,'İş Dağılımı'!A:C,3,0)</f>
        <v>Kadri Işık</v>
      </c>
      <c r="E157">
        <v>1725</v>
      </c>
      <c r="F157" t="str">
        <f>IFERROR(VLOOKUP(E:E,'Malzeme Listesi'!A:B,2,0),"")</f>
        <v>Deodorant</v>
      </c>
      <c r="G157" s="1">
        <f>VLOOKUP(E:E,'Malzeme Listesi'!A:C,3,0)</f>
        <v>37</v>
      </c>
      <c r="H157">
        <v>5</v>
      </c>
      <c r="I157" s="1">
        <f t="shared" si="2"/>
        <v>185</v>
      </c>
    </row>
    <row r="158" spans="1:9" x14ac:dyDescent="0.25">
      <c r="A158" s="2" t="s">
        <v>19</v>
      </c>
      <c r="B158">
        <v>1999</v>
      </c>
      <c r="C158" t="str">
        <f>VLOOKUP(B:B,'İş Dağılımı'!A:B,2,0)</f>
        <v>Gamze Öztürk</v>
      </c>
      <c r="D158" t="str">
        <f>VLOOKUP(B:B,'İş Dağılımı'!A:C,3,0)</f>
        <v>Engin Demir</v>
      </c>
      <c r="E158">
        <v>1465</v>
      </c>
      <c r="F158" t="str">
        <f>IFERROR(VLOOKUP(E:E,'Malzeme Listesi'!A:B,2,0),"")</f>
        <v>Şampuan</v>
      </c>
      <c r="G158" s="1">
        <f>VLOOKUP(E:E,'Malzeme Listesi'!A:C,3,0)</f>
        <v>12</v>
      </c>
      <c r="H158">
        <v>0</v>
      </c>
      <c r="I158" s="1">
        <f t="shared" si="2"/>
        <v>0</v>
      </c>
    </row>
    <row r="159" spans="1:9" x14ac:dyDescent="0.25">
      <c r="A159" s="2" t="s">
        <v>19</v>
      </c>
      <c r="B159">
        <v>1999</v>
      </c>
      <c r="C159" t="str">
        <f>VLOOKUP(B:B,'İş Dağılımı'!A:B,2,0)</f>
        <v>Gamze Öztürk</v>
      </c>
      <c r="D159" t="str">
        <f>VLOOKUP(B:B,'İş Dağılımı'!A:C,3,0)</f>
        <v>Engin Demir</v>
      </c>
      <c r="E159">
        <v>1246</v>
      </c>
      <c r="F159" t="str">
        <f>IFERROR(VLOOKUP(E:E,'Malzeme Listesi'!A:B,2,0),"")</f>
        <v>Parfüm</v>
      </c>
      <c r="G159" s="1">
        <f>VLOOKUP(E:E,'Malzeme Listesi'!A:C,3,0)</f>
        <v>20</v>
      </c>
      <c r="H159">
        <v>26</v>
      </c>
      <c r="I159" s="1">
        <f t="shared" si="2"/>
        <v>520</v>
      </c>
    </row>
    <row r="160" spans="1:9" x14ac:dyDescent="0.25">
      <c r="A160" s="2" t="s">
        <v>19</v>
      </c>
      <c r="B160">
        <v>1999</v>
      </c>
      <c r="C160" t="str">
        <f>VLOOKUP(B:B,'İş Dağılımı'!A:B,2,0)</f>
        <v>Gamze Öztürk</v>
      </c>
      <c r="D160" t="str">
        <f>VLOOKUP(B:B,'İş Dağılımı'!A:C,3,0)</f>
        <v>Engin Demir</v>
      </c>
      <c r="E160">
        <v>1725</v>
      </c>
      <c r="F160" t="str">
        <f>IFERROR(VLOOKUP(E:E,'Malzeme Listesi'!A:B,2,0),"")</f>
        <v>Deodorant</v>
      </c>
      <c r="G160" s="1">
        <f>VLOOKUP(E:E,'Malzeme Listesi'!A:C,3,0)</f>
        <v>37</v>
      </c>
      <c r="H160">
        <v>18</v>
      </c>
      <c r="I160" s="1">
        <f t="shared" si="2"/>
        <v>666</v>
      </c>
    </row>
    <row r="161" spans="1:9" x14ac:dyDescent="0.25">
      <c r="A161" s="2" t="s">
        <v>19</v>
      </c>
      <c r="B161">
        <v>2000</v>
      </c>
      <c r="C161" t="str">
        <f>VLOOKUP(B:B,'İş Dağılımı'!A:B,2,0)</f>
        <v>Melike Kara</v>
      </c>
      <c r="D161" t="str">
        <f>VLOOKUP(B:B,'İş Dağılımı'!A:C,3,0)</f>
        <v>Aslı Balcı</v>
      </c>
      <c r="E161">
        <v>1465</v>
      </c>
      <c r="F161" t="str">
        <f>IFERROR(VLOOKUP(E:E,'Malzeme Listesi'!A:B,2,0),"")</f>
        <v>Şampuan</v>
      </c>
      <c r="G161" s="1">
        <f>VLOOKUP(E:E,'Malzeme Listesi'!A:C,3,0)</f>
        <v>12</v>
      </c>
      <c r="H161">
        <v>48</v>
      </c>
      <c r="I161" s="1">
        <f t="shared" si="2"/>
        <v>576</v>
      </c>
    </row>
    <row r="162" spans="1:9" x14ac:dyDescent="0.25">
      <c r="A162" s="2" t="s">
        <v>19</v>
      </c>
      <c r="B162">
        <v>2000</v>
      </c>
      <c r="C162" t="str">
        <f>VLOOKUP(B:B,'İş Dağılımı'!A:B,2,0)</f>
        <v>Melike Kara</v>
      </c>
      <c r="D162" t="str">
        <f>VLOOKUP(B:B,'İş Dağılımı'!A:C,3,0)</f>
        <v>Aslı Balcı</v>
      </c>
      <c r="E162">
        <v>1246</v>
      </c>
      <c r="F162" t="str">
        <f>IFERROR(VLOOKUP(E:E,'Malzeme Listesi'!A:B,2,0),"")</f>
        <v>Parfüm</v>
      </c>
      <c r="G162" s="1">
        <f>VLOOKUP(E:E,'Malzeme Listesi'!A:C,3,0)</f>
        <v>20</v>
      </c>
      <c r="H162">
        <v>50</v>
      </c>
      <c r="I162" s="1">
        <f t="shared" si="2"/>
        <v>1000</v>
      </c>
    </row>
    <row r="163" spans="1:9" x14ac:dyDescent="0.25">
      <c r="A163" s="2" t="s">
        <v>19</v>
      </c>
      <c r="B163">
        <v>2000</v>
      </c>
      <c r="C163" t="str">
        <f>VLOOKUP(B:B,'İş Dağılımı'!A:B,2,0)</f>
        <v>Melike Kara</v>
      </c>
      <c r="D163" t="str">
        <f>VLOOKUP(B:B,'İş Dağılımı'!A:C,3,0)</f>
        <v>Aslı Balcı</v>
      </c>
      <c r="E163">
        <v>1725</v>
      </c>
      <c r="F163" t="str">
        <f>IFERROR(VLOOKUP(E:E,'Malzeme Listesi'!A:B,2,0),"")</f>
        <v>Deodorant</v>
      </c>
      <c r="G163" s="1">
        <f>VLOOKUP(E:E,'Malzeme Listesi'!A:C,3,0)</f>
        <v>37</v>
      </c>
      <c r="H163">
        <v>3</v>
      </c>
      <c r="I163" s="1">
        <f t="shared" si="2"/>
        <v>111</v>
      </c>
    </row>
    <row r="164" spans="1:9" x14ac:dyDescent="0.25">
      <c r="A164" s="2" t="s">
        <v>19</v>
      </c>
      <c r="B164">
        <v>2001</v>
      </c>
      <c r="C164" t="str">
        <f>VLOOKUP(B:B,'İş Dağılımı'!A:B,2,0)</f>
        <v>Emine Şimşek</v>
      </c>
      <c r="D164" t="str">
        <f>VLOOKUP(B:B,'İş Dağılımı'!A:C,3,0)</f>
        <v>Aslı Balcı</v>
      </c>
      <c r="E164">
        <v>1465</v>
      </c>
      <c r="F164" t="str">
        <f>IFERROR(VLOOKUP(E:E,'Malzeme Listesi'!A:B,2,0),"")</f>
        <v>Şampuan</v>
      </c>
      <c r="G164" s="1">
        <f>VLOOKUP(E:E,'Malzeme Listesi'!A:C,3,0)</f>
        <v>12</v>
      </c>
      <c r="H164">
        <v>23</v>
      </c>
      <c r="I164" s="1">
        <f t="shared" si="2"/>
        <v>276</v>
      </c>
    </row>
    <row r="165" spans="1:9" x14ac:dyDescent="0.25">
      <c r="A165" s="2" t="s">
        <v>19</v>
      </c>
      <c r="B165">
        <v>2001</v>
      </c>
      <c r="C165" t="str">
        <f>VLOOKUP(B:B,'İş Dağılımı'!A:B,2,0)</f>
        <v>Emine Şimşek</v>
      </c>
      <c r="D165" t="str">
        <f>VLOOKUP(B:B,'İş Dağılımı'!A:C,3,0)</f>
        <v>Aslı Balcı</v>
      </c>
      <c r="E165">
        <v>1246</v>
      </c>
      <c r="F165" t="str">
        <f>IFERROR(VLOOKUP(E:E,'Malzeme Listesi'!A:B,2,0),"")</f>
        <v>Parfüm</v>
      </c>
      <c r="G165" s="1">
        <f>VLOOKUP(E:E,'Malzeme Listesi'!A:C,3,0)</f>
        <v>20</v>
      </c>
      <c r="H165">
        <v>16</v>
      </c>
      <c r="I165" s="1">
        <f t="shared" si="2"/>
        <v>320</v>
      </c>
    </row>
    <row r="166" spans="1:9" x14ac:dyDescent="0.25">
      <c r="A166" s="2" t="s">
        <v>19</v>
      </c>
      <c r="B166">
        <v>2001</v>
      </c>
      <c r="C166" t="str">
        <f>VLOOKUP(B:B,'İş Dağılımı'!A:B,2,0)</f>
        <v>Emine Şimşek</v>
      </c>
      <c r="D166" t="str">
        <f>VLOOKUP(B:B,'İş Dağılımı'!A:C,3,0)</f>
        <v>Aslı Balcı</v>
      </c>
      <c r="E166">
        <v>1725</v>
      </c>
      <c r="F166" t="str">
        <f>IFERROR(VLOOKUP(E:E,'Malzeme Listesi'!A:B,2,0),"")</f>
        <v>Deodorant</v>
      </c>
      <c r="G166" s="1">
        <f>VLOOKUP(E:E,'Malzeme Listesi'!A:C,3,0)</f>
        <v>37</v>
      </c>
      <c r="H166">
        <v>47</v>
      </c>
      <c r="I166" s="1">
        <f t="shared" si="2"/>
        <v>1739</v>
      </c>
    </row>
    <row r="167" spans="1:9" x14ac:dyDescent="0.25">
      <c r="A167" s="2" t="s">
        <v>19</v>
      </c>
      <c r="B167">
        <v>2002</v>
      </c>
      <c r="C167" t="str">
        <f>VLOOKUP(B:B,'İş Dağılımı'!A:B,2,0)</f>
        <v>Adem Yıldız</v>
      </c>
      <c r="D167" t="str">
        <f>VLOOKUP(B:B,'İş Dağılımı'!A:C,3,0)</f>
        <v>Engin Demir</v>
      </c>
      <c r="E167">
        <v>1465</v>
      </c>
      <c r="F167" t="str">
        <f>IFERROR(VLOOKUP(E:E,'Malzeme Listesi'!A:B,2,0),"")</f>
        <v>Şampuan</v>
      </c>
      <c r="G167" s="1">
        <f>VLOOKUP(E:E,'Malzeme Listesi'!A:C,3,0)</f>
        <v>12</v>
      </c>
      <c r="H167">
        <v>10</v>
      </c>
      <c r="I167" s="1">
        <f t="shared" si="2"/>
        <v>120</v>
      </c>
    </row>
    <row r="168" spans="1:9" x14ac:dyDescent="0.25">
      <c r="A168" s="2" t="s">
        <v>19</v>
      </c>
      <c r="B168">
        <v>2002</v>
      </c>
      <c r="C168" t="str">
        <f>VLOOKUP(B:B,'İş Dağılımı'!A:B,2,0)</f>
        <v>Adem Yıldız</v>
      </c>
      <c r="D168" t="str">
        <f>VLOOKUP(B:B,'İş Dağılımı'!A:C,3,0)</f>
        <v>Engin Demir</v>
      </c>
      <c r="E168">
        <v>1246</v>
      </c>
      <c r="F168" t="str">
        <f>IFERROR(VLOOKUP(E:E,'Malzeme Listesi'!A:B,2,0),"")</f>
        <v>Parfüm</v>
      </c>
      <c r="G168" s="1">
        <f>VLOOKUP(E:E,'Malzeme Listesi'!A:C,3,0)</f>
        <v>20</v>
      </c>
      <c r="H168">
        <v>16</v>
      </c>
      <c r="I168" s="1">
        <f t="shared" si="2"/>
        <v>320</v>
      </c>
    </row>
    <row r="169" spans="1:9" x14ac:dyDescent="0.25">
      <c r="A169" s="2" t="s">
        <v>19</v>
      </c>
      <c r="B169">
        <v>2002</v>
      </c>
      <c r="C169" t="str">
        <f>VLOOKUP(B:B,'İş Dağılımı'!A:B,2,0)</f>
        <v>Adem Yıldız</v>
      </c>
      <c r="D169" t="str">
        <f>VLOOKUP(B:B,'İş Dağılımı'!A:C,3,0)</f>
        <v>Engin Demir</v>
      </c>
      <c r="E169">
        <v>1725</v>
      </c>
      <c r="F169" t="str">
        <f>IFERROR(VLOOKUP(E:E,'Malzeme Listesi'!A:B,2,0),"")</f>
        <v>Deodorant</v>
      </c>
      <c r="G169" s="1">
        <f>VLOOKUP(E:E,'Malzeme Listesi'!A:C,3,0)</f>
        <v>37</v>
      </c>
      <c r="H169">
        <v>49</v>
      </c>
      <c r="I169" s="1">
        <f t="shared" si="2"/>
        <v>1813</v>
      </c>
    </row>
    <row r="170" spans="1:9" x14ac:dyDescent="0.25">
      <c r="A170" s="2" t="s">
        <v>19</v>
      </c>
      <c r="B170">
        <v>2003</v>
      </c>
      <c r="C170" t="str">
        <f>VLOOKUP(B:B,'İş Dağılımı'!A:B,2,0)</f>
        <v>İbrahim Vural</v>
      </c>
      <c r="D170" t="str">
        <f>VLOOKUP(B:B,'İş Dağılımı'!A:C,3,0)</f>
        <v>Engin Demir</v>
      </c>
      <c r="E170">
        <v>1465</v>
      </c>
      <c r="F170" t="str">
        <f>IFERROR(VLOOKUP(E:E,'Malzeme Listesi'!A:B,2,0),"")</f>
        <v>Şampuan</v>
      </c>
      <c r="G170" s="1">
        <f>VLOOKUP(E:E,'Malzeme Listesi'!A:C,3,0)</f>
        <v>12</v>
      </c>
      <c r="H170">
        <v>4</v>
      </c>
      <c r="I170" s="1">
        <f t="shared" si="2"/>
        <v>48</v>
      </c>
    </row>
    <row r="171" spans="1:9" x14ac:dyDescent="0.25">
      <c r="A171" s="2" t="s">
        <v>19</v>
      </c>
      <c r="B171">
        <v>2003</v>
      </c>
      <c r="C171" t="str">
        <f>VLOOKUP(B:B,'İş Dağılımı'!A:B,2,0)</f>
        <v>İbrahim Vural</v>
      </c>
      <c r="D171" t="str">
        <f>VLOOKUP(B:B,'İş Dağılımı'!A:C,3,0)</f>
        <v>Engin Demir</v>
      </c>
      <c r="E171">
        <v>1246</v>
      </c>
      <c r="F171" t="str">
        <f>IFERROR(VLOOKUP(E:E,'Malzeme Listesi'!A:B,2,0),"")</f>
        <v>Parfüm</v>
      </c>
      <c r="G171" s="1">
        <f>VLOOKUP(E:E,'Malzeme Listesi'!A:C,3,0)</f>
        <v>20</v>
      </c>
      <c r="H171">
        <v>4</v>
      </c>
      <c r="I171" s="1">
        <f t="shared" si="2"/>
        <v>80</v>
      </c>
    </row>
    <row r="172" spans="1:9" x14ac:dyDescent="0.25">
      <c r="A172" s="2" t="s">
        <v>19</v>
      </c>
      <c r="B172">
        <v>2003</v>
      </c>
      <c r="C172" t="str">
        <f>VLOOKUP(B:B,'İş Dağılımı'!A:B,2,0)</f>
        <v>İbrahim Vural</v>
      </c>
      <c r="D172" t="str">
        <f>VLOOKUP(B:B,'İş Dağılımı'!A:C,3,0)</f>
        <v>Engin Demir</v>
      </c>
      <c r="E172">
        <v>1725</v>
      </c>
      <c r="F172" t="str">
        <f>IFERROR(VLOOKUP(E:E,'Malzeme Listesi'!A:B,2,0),"")</f>
        <v>Deodorant</v>
      </c>
      <c r="G172" s="1">
        <f>VLOOKUP(E:E,'Malzeme Listesi'!A:C,3,0)</f>
        <v>37</v>
      </c>
      <c r="H172">
        <v>12</v>
      </c>
      <c r="I172" s="1">
        <f t="shared" si="2"/>
        <v>444</v>
      </c>
    </row>
    <row r="173" spans="1:9" x14ac:dyDescent="0.25">
      <c r="A173" s="2" t="s">
        <v>19</v>
      </c>
      <c r="B173">
        <v>2004</v>
      </c>
      <c r="C173" t="str">
        <f>VLOOKUP(B:B,'İş Dağılımı'!A:B,2,0)</f>
        <v>Mehmet Sodacı</v>
      </c>
      <c r="D173" t="str">
        <f>VLOOKUP(B:B,'İş Dağılımı'!A:C,3,0)</f>
        <v>Engin Demir</v>
      </c>
      <c r="E173">
        <v>1465</v>
      </c>
      <c r="F173" t="str">
        <f>IFERROR(VLOOKUP(E:E,'Malzeme Listesi'!A:B,2,0),"")</f>
        <v>Şampuan</v>
      </c>
      <c r="G173" s="1">
        <f>VLOOKUP(E:E,'Malzeme Listesi'!A:C,3,0)</f>
        <v>12</v>
      </c>
      <c r="H173">
        <v>39</v>
      </c>
      <c r="I173" s="1">
        <f t="shared" si="2"/>
        <v>468</v>
      </c>
    </row>
    <row r="174" spans="1:9" x14ac:dyDescent="0.25">
      <c r="A174" s="2" t="s">
        <v>19</v>
      </c>
      <c r="B174">
        <v>2004</v>
      </c>
      <c r="C174" t="str">
        <f>VLOOKUP(B:B,'İş Dağılımı'!A:B,2,0)</f>
        <v>Mehmet Sodacı</v>
      </c>
      <c r="D174" t="str">
        <f>VLOOKUP(B:B,'İş Dağılımı'!A:C,3,0)</f>
        <v>Engin Demir</v>
      </c>
      <c r="E174">
        <v>1246</v>
      </c>
      <c r="F174" t="str">
        <f>IFERROR(VLOOKUP(E:E,'Malzeme Listesi'!A:B,2,0),"")</f>
        <v>Parfüm</v>
      </c>
      <c r="G174" s="1">
        <f>VLOOKUP(E:E,'Malzeme Listesi'!A:C,3,0)</f>
        <v>20</v>
      </c>
      <c r="H174">
        <v>17</v>
      </c>
      <c r="I174" s="1">
        <f t="shared" si="2"/>
        <v>340</v>
      </c>
    </row>
    <row r="175" spans="1:9" x14ac:dyDescent="0.25">
      <c r="A175" s="2" t="s">
        <v>19</v>
      </c>
      <c r="B175">
        <v>2004</v>
      </c>
      <c r="C175" t="str">
        <f>VLOOKUP(B:B,'İş Dağılımı'!A:B,2,0)</f>
        <v>Mehmet Sodacı</v>
      </c>
      <c r="D175" t="str">
        <f>VLOOKUP(B:B,'İş Dağılımı'!A:C,3,0)</f>
        <v>Engin Demir</v>
      </c>
      <c r="E175">
        <v>1725</v>
      </c>
      <c r="F175" t="str">
        <f>IFERROR(VLOOKUP(E:E,'Malzeme Listesi'!A:B,2,0),"")</f>
        <v>Deodorant</v>
      </c>
      <c r="G175" s="1">
        <f>VLOOKUP(E:E,'Malzeme Listesi'!A:C,3,0)</f>
        <v>37</v>
      </c>
      <c r="H175">
        <v>33</v>
      </c>
      <c r="I175" s="1">
        <f t="shared" si="2"/>
        <v>1221</v>
      </c>
    </row>
    <row r="176" spans="1:9" x14ac:dyDescent="0.25">
      <c r="A176" s="2" t="s">
        <v>19</v>
      </c>
      <c r="B176">
        <v>2005</v>
      </c>
      <c r="C176" t="str">
        <f>VLOOKUP(B:B,'İş Dağılımı'!A:B,2,0)</f>
        <v>Mete Özak</v>
      </c>
      <c r="D176" t="str">
        <f>VLOOKUP(B:B,'İş Dağılımı'!A:C,3,0)</f>
        <v>Kadri Işık</v>
      </c>
      <c r="E176">
        <v>1465</v>
      </c>
      <c r="F176" t="str">
        <f>IFERROR(VLOOKUP(E:E,'Malzeme Listesi'!A:B,2,0),"")</f>
        <v>Şampuan</v>
      </c>
      <c r="G176" s="1">
        <f>VLOOKUP(E:E,'Malzeme Listesi'!A:C,3,0)</f>
        <v>12</v>
      </c>
      <c r="H176">
        <v>9</v>
      </c>
      <c r="I176" s="1">
        <f t="shared" si="2"/>
        <v>108</v>
      </c>
    </row>
    <row r="177" spans="1:9" x14ac:dyDescent="0.25">
      <c r="A177" s="2" t="s">
        <v>19</v>
      </c>
      <c r="B177">
        <v>2005</v>
      </c>
      <c r="C177" t="str">
        <f>VLOOKUP(B:B,'İş Dağılımı'!A:B,2,0)</f>
        <v>Mete Özak</v>
      </c>
      <c r="D177" t="str">
        <f>VLOOKUP(B:B,'İş Dağılımı'!A:C,3,0)</f>
        <v>Kadri Işık</v>
      </c>
      <c r="E177">
        <v>1246</v>
      </c>
      <c r="F177" t="str">
        <f>IFERROR(VLOOKUP(E:E,'Malzeme Listesi'!A:B,2,0),"")</f>
        <v>Parfüm</v>
      </c>
      <c r="G177" s="1">
        <f>VLOOKUP(E:E,'Malzeme Listesi'!A:C,3,0)</f>
        <v>20</v>
      </c>
      <c r="H177">
        <v>44</v>
      </c>
      <c r="I177" s="1">
        <f t="shared" si="2"/>
        <v>880</v>
      </c>
    </row>
    <row r="178" spans="1:9" x14ac:dyDescent="0.25">
      <c r="A178" s="2" t="s">
        <v>19</v>
      </c>
      <c r="B178">
        <v>2005</v>
      </c>
      <c r="C178" t="str">
        <f>VLOOKUP(B:B,'İş Dağılımı'!A:B,2,0)</f>
        <v>Mete Özak</v>
      </c>
      <c r="D178" t="str">
        <f>VLOOKUP(B:B,'İş Dağılımı'!A:C,3,0)</f>
        <v>Kadri Işık</v>
      </c>
      <c r="E178">
        <v>1725</v>
      </c>
      <c r="F178" t="str">
        <f>IFERROR(VLOOKUP(E:E,'Malzeme Listesi'!A:B,2,0),"")</f>
        <v>Deodorant</v>
      </c>
      <c r="G178" s="1">
        <f>VLOOKUP(E:E,'Malzeme Listesi'!A:C,3,0)</f>
        <v>37</v>
      </c>
      <c r="H178">
        <v>29</v>
      </c>
      <c r="I178" s="1">
        <f t="shared" si="2"/>
        <v>1073</v>
      </c>
    </row>
    <row r="179" spans="1:9" x14ac:dyDescent="0.25">
      <c r="A179" s="2" t="s">
        <v>19</v>
      </c>
      <c r="B179">
        <v>2006</v>
      </c>
      <c r="C179" t="str">
        <f>VLOOKUP(B:B,'İş Dağılımı'!A:B,2,0)</f>
        <v>Fatih Güldüren</v>
      </c>
      <c r="D179" t="str">
        <f>VLOOKUP(B:B,'İş Dağılımı'!A:C,3,0)</f>
        <v>Aslı Balcı</v>
      </c>
      <c r="E179">
        <v>1465</v>
      </c>
      <c r="F179" t="str">
        <f>IFERROR(VLOOKUP(E:E,'Malzeme Listesi'!A:B,2,0),"")</f>
        <v>Şampuan</v>
      </c>
      <c r="G179" s="1">
        <f>VLOOKUP(E:E,'Malzeme Listesi'!A:C,3,0)</f>
        <v>12</v>
      </c>
      <c r="H179">
        <v>38</v>
      </c>
      <c r="I179" s="1">
        <f t="shared" si="2"/>
        <v>456</v>
      </c>
    </row>
    <row r="180" spans="1:9" x14ac:dyDescent="0.25">
      <c r="A180" s="2" t="s">
        <v>19</v>
      </c>
      <c r="B180">
        <v>2006</v>
      </c>
      <c r="C180" t="str">
        <f>VLOOKUP(B:B,'İş Dağılımı'!A:B,2,0)</f>
        <v>Fatih Güldüren</v>
      </c>
      <c r="D180" t="str">
        <f>VLOOKUP(B:B,'İş Dağılımı'!A:C,3,0)</f>
        <v>Aslı Balcı</v>
      </c>
      <c r="E180">
        <v>1246</v>
      </c>
      <c r="F180" t="str">
        <f>IFERROR(VLOOKUP(E:E,'Malzeme Listesi'!A:B,2,0),"")</f>
        <v>Parfüm</v>
      </c>
      <c r="G180" s="1">
        <f>VLOOKUP(E:E,'Malzeme Listesi'!A:C,3,0)</f>
        <v>20</v>
      </c>
      <c r="H180">
        <v>25</v>
      </c>
      <c r="I180" s="1">
        <f t="shared" si="2"/>
        <v>500</v>
      </c>
    </row>
    <row r="181" spans="1:9" x14ac:dyDescent="0.25">
      <c r="A181" s="2" t="s">
        <v>19</v>
      </c>
      <c r="B181">
        <v>2006</v>
      </c>
      <c r="C181" t="str">
        <f>VLOOKUP(B:B,'İş Dağılımı'!A:B,2,0)</f>
        <v>Fatih Güldüren</v>
      </c>
      <c r="D181" t="str">
        <f>VLOOKUP(B:B,'İş Dağılımı'!A:C,3,0)</f>
        <v>Aslı Balcı</v>
      </c>
      <c r="E181">
        <v>1725</v>
      </c>
      <c r="F181" t="str">
        <f>IFERROR(VLOOKUP(E:E,'Malzeme Listesi'!A:B,2,0),"")</f>
        <v>Deodorant</v>
      </c>
      <c r="G181" s="1">
        <f>VLOOKUP(E:E,'Malzeme Listesi'!A:C,3,0)</f>
        <v>37</v>
      </c>
      <c r="H181">
        <v>41</v>
      </c>
      <c r="I181" s="1">
        <f t="shared" si="2"/>
        <v>1517</v>
      </c>
    </row>
    <row r="182" spans="1:9" x14ac:dyDescent="0.25">
      <c r="A182" s="2" t="s">
        <v>19</v>
      </c>
      <c r="B182">
        <v>2007</v>
      </c>
      <c r="C182" t="str">
        <f>VLOOKUP(B:B,'İş Dağılımı'!A:B,2,0)</f>
        <v>Zeynep Yetişen</v>
      </c>
      <c r="D182" t="str">
        <f>VLOOKUP(B:B,'İş Dağılımı'!A:C,3,0)</f>
        <v>Engin Demir</v>
      </c>
      <c r="E182">
        <v>1465</v>
      </c>
      <c r="F182" t="str">
        <f>IFERROR(VLOOKUP(E:E,'Malzeme Listesi'!A:B,2,0),"")</f>
        <v>Şampuan</v>
      </c>
      <c r="G182" s="1">
        <f>VLOOKUP(E:E,'Malzeme Listesi'!A:C,3,0)</f>
        <v>12</v>
      </c>
      <c r="H182">
        <v>42</v>
      </c>
      <c r="I182" s="1">
        <f t="shared" si="2"/>
        <v>504</v>
      </c>
    </row>
    <row r="183" spans="1:9" x14ac:dyDescent="0.25">
      <c r="A183" s="2" t="s">
        <v>19</v>
      </c>
      <c r="B183">
        <v>2007</v>
      </c>
      <c r="C183" t="str">
        <f>VLOOKUP(B:B,'İş Dağılımı'!A:B,2,0)</f>
        <v>Zeynep Yetişen</v>
      </c>
      <c r="D183" t="str">
        <f>VLOOKUP(B:B,'İş Dağılımı'!A:C,3,0)</f>
        <v>Engin Demir</v>
      </c>
      <c r="E183">
        <v>1246</v>
      </c>
      <c r="F183" t="str">
        <f>IFERROR(VLOOKUP(E:E,'Malzeme Listesi'!A:B,2,0),"")</f>
        <v>Parfüm</v>
      </c>
      <c r="G183" s="1">
        <f>VLOOKUP(E:E,'Malzeme Listesi'!A:C,3,0)</f>
        <v>20</v>
      </c>
      <c r="H183">
        <v>1</v>
      </c>
      <c r="I183" s="1">
        <f t="shared" si="2"/>
        <v>20</v>
      </c>
    </row>
    <row r="184" spans="1:9" x14ac:dyDescent="0.25">
      <c r="A184" s="2" t="s">
        <v>19</v>
      </c>
      <c r="B184">
        <v>2007</v>
      </c>
      <c r="C184" t="str">
        <f>VLOOKUP(B:B,'İş Dağılımı'!A:B,2,0)</f>
        <v>Zeynep Yetişen</v>
      </c>
      <c r="D184" t="str">
        <f>VLOOKUP(B:B,'İş Dağılımı'!A:C,3,0)</f>
        <v>Engin Demir</v>
      </c>
      <c r="E184">
        <v>1725</v>
      </c>
      <c r="F184" t="str">
        <f>IFERROR(VLOOKUP(E:E,'Malzeme Listesi'!A:B,2,0),"")</f>
        <v>Deodorant</v>
      </c>
      <c r="G184" s="1">
        <f>VLOOKUP(E:E,'Malzeme Listesi'!A:C,3,0)</f>
        <v>37</v>
      </c>
      <c r="H184">
        <v>4</v>
      </c>
      <c r="I184" s="1">
        <f t="shared" si="2"/>
        <v>148</v>
      </c>
    </row>
    <row r="185" spans="1:9" x14ac:dyDescent="0.25">
      <c r="A185" s="2" t="s">
        <v>19</v>
      </c>
      <c r="B185">
        <v>2008</v>
      </c>
      <c r="C185" t="str">
        <f>VLOOKUP(B:B,'İş Dağılımı'!A:B,2,0)</f>
        <v>Ediz Ekin</v>
      </c>
      <c r="D185" t="str">
        <f>VLOOKUP(B:B,'İş Dağılımı'!A:C,3,0)</f>
        <v>Kadri Işık</v>
      </c>
      <c r="E185">
        <v>1465</v>
      </c>
      <c r="F185" t="str">
        <f>IFERROR(VLOOKUP(E:E,'Malzeme Listesi'!A:B,2,0),"")</f>
        <v>Şampuan</v>
      </c>
      <c r="G185" s="1">
        <f>VLOOKUP(E:E,'Malzeme Listesi'!A:C,3,0)</f>
        <v>12</v>
      </c>
      <c r="H185">
        <v>3</v>
      </c>
      <c r="I185" s="1">
        <f t="shared" si="2"/>
        <v>36</v>
      </c>
    </row>
    <row r="186" spans="1:9" x14ac:dyDescent="0.25">
      <c r="A186" s="2" t="s">
        <v>19</v>
      </c>
      <c r="B186">
        <v>2008</v>
      </c>
      <c r="C186" t="str">
        <f>VLOOKUP(B:B,'İş Dağılımı'!A:B,2,0)</f>
        <v>Ediz Ekin</v>
      </c>
      <c r="D186" t="str">
        <f>VLOOKUP(B:B,'İş Dağılımı'!A:C,3,0)</f>
        <v>Kadri Işık</v>
      </c>
      <c r="E186">
        <v>1246</v>
      </c>
      <c r="F186" t="str">
        <f>IFERROR(VLOOKUP(E:E,'Malzeme Listesi'!A:B,2,0),"")</f>
        <v>Parfüm</v>
      </c>
      <c r="G186" s="1">
        <f>VLOOKUP(E:E,'Malzeme Listesi'!A:C,3,0)</f>
        <v>20</v>
      </c>
      <c r="H186">
        <v>1</v>
      </c>
      <c r="I186" s="1">
        <f t="shared" si="2"/>
        <v>20</v>
      </c>
    </row>
    <row r="187" spans="1:9" x14ac:dyDescent="0.25">
      <c r="A187" s="2" t="s">
        <v>19</v>
      </c>
      <c r="B187">
        <v>2008</v>
      </c>
      <c r="C187" t="str">
        <f>VLOOKUP(B:B,'İş Dağılımı'!A:B,2,0)</f>
        <v>Ediz Ekin</v>
      </c>
      <c r="D187" t="str">
        <f>VLOOKUP(B:B,'İş Dağılımı'!A:C,3,0)</f>
        <v>Kadri Işık</v>
      </c>
      <c r="E187">
        <v>1725</v>
      </c>
      <c r="F187" t="str">
        <f>IFERROR(VLOOKUP(E:E,'Malzeme Listesi'!A:B,2,0),"")</f>
        <v>Deodorant</v>
      </c>
      <c r="G187" s="1">
        <f>VLOOKUP(E:E,'Malzeme Listesi'!A:C,3,0)</f>
        <v>37</v>
      </c>
      <c r="H187">
        <v>30</v>
      </c>
      <c r="I187" s="1">
        <f t="shared" si="2"/>
        <v>1110</v>
      </c>
    </row>
    <row r="188" spans="1:9" x14ac:dyDescent="0.25">
      <c r="A188" s="2" t="s">
        <v>19</v>
      </c>
      <c r="B188">
        <v>2009</v>
      </c>
      <c r="C188" t="str">
        <f>VLOOKUP(B:B,'İş Dağılımı'!A:B,2,0)</f>
        <v>Alper Çakır</v>
      </c>
      <c r="D188" t="str">
        <f>VLOOKUP(B:B,'İş Dağılımı'!A:C,3,0)</f>
        <v>Kadri Işık</v>
      </c>
      <c r="E188">
        <v>1465</v>
      </c>
      <c r="F188" t="str">
        <f>IFERROR(VLOOKUP(E:E,'Malzeme Listesi'!A:B,2,0),"")</f>
        <v>Şampuan</v>
      </c>
      <c r="G188" s="1">
        <f>VLOOKUP(E:E,'Malzeme Listesi'!A:C,3,0)</f>
        <v>12</v>
      </c>
      <c r="H188">
        <v>11</v>
      </c>
      <c r="I188" s="1">
        <f t="shared" si="2"/>
        <v>132</v>
      </c>
    </row>
    <row r="189" spans="1:9" x14ac:dyDescent="0.25">
      <c r="A189" s="2" t="s">
        <v>19</v>
      </c>
      <c r="B189">
        <v>2009</v>
      </c>
      <c r="C189" t="str">
        <f>VLOOKUP(B:B,'İş Dağılımı'!A:B,2,0)</f>
        <v>Alper Çakır</v>
      </c>
      <c r="D189" t="str">
        <f>VLOOKUP(B:B,'İş Dağılımı'!A:C,3,0)</f>
        <v>Kadri Işık</v>
      </c>
      <c r="E189">
        <v>1246</v>
      </c>
      <c r="F189" t="str">
        <f>IFERROR(VLOOKUP(E:E,'Malzeme Listesi'!A:B,2,0),"")</f>
        <v>Parfüm</v>
      </c>
      <c r="G189" s="1">
        <f>VLOOKUP(E:E,'Malzeme Listesi'!A:C,3,0)</f>
        <v>20</v>
      </c>
      <c r="H189">
        <v>48</v>
      </c>
      <c r="I189" s="1">
        <f t="shared" si="2"/>
        <v>960</v>
      </c>
    </row>
    <row r="190" spans="1:9" x14ac:dyDescent="0.25">
      <c r="A190" s="2" t="s">
        <v>19</v>
      </c>
      <c r="B190">
        <v>2009</v>
      </c>
      <c r="C190" t="str">
        <f>VLOOKUP(B:B,'İş Dağılımı'!A:B,2,0)</f>
        <v>Alper Çakır</v>
      </c>
      <c r="D190" t="str">
        <f>VLOOKUP(B:B,'İş Dağılımı'!A:C,3,0)</f>
        <v>Kadri Işık</v>
      </c>
      <c r="E190">
        <v>1725</v>
      </c>
      <c r="F190" t="str">
        <f>IFERROR(VLOOKUP(E:E,'Malzeme Listesi'!A:B,2,0),"")</f>
        <v>Deodorant</v>
      </c>
      <c r="G190" s="1">
        <f>VLOOKUP(E:E,'Malzeme Listesi'!A:C,3,0)</f>
        <v>37</v>
      </c>
      <c r="H190">
        <v>28</v>
      </c>
      <c r="I190" s="1">
        <f t="shared" si="2"/>
        <v>1036</v>
      </c>
    </row>
    <row r="191" spans="1:9" x14ac:dyDescent="0.25">
      <c r="A191" s="2" t="s">
        <v>19</v>
      </c>
      <c r="B191">
        <v>2010</v>
      </c>
      <c r="C191" t="str">
        <f>VLOOKUP(B:B,'İş Dağılımı'!A:B,2,0)</f>
        <v>Enver Toprak</v>
      </c>
      <c r="D191" t="str">
        <f>VLOOKUP(B:B,'İş Dağılımı'!A:C,3,0)</f>
        <v>Aslı Balcı</v>
      </c>
      <c r="E191">
        <v>1465</v>
      </c>
      <c r="F191" t="str">
        <f>IFERROR(VLOOKUP(E:E,'Malzeme Listesi'!A:B,2,0),"")</f>
        <v>Şampuan</v>
      </c>
      <c r="G191" s="1">
        <f>VLOOKUP(E:E,'Malzeme Listesi'!A:C,3,0)</f>
        <v>12</v>
      </c>
      <c r="H191">
        <v>25</v>
      </c>
      <c r="I191" s="1">
        <f t="shared" si="2"/>
        <v>300</v>
      </c>
    </row>
    <row r="192" spans="1:9" x14ac:dyDescent="0.25">
      <c r="A192" s="2" t="s">
        <v>19</v>
      </c>
      <c r="B192">
        <v>2010</v>
      </c>
      <c r="C192" t="str">
        <f>VLOOKUP(B:B,'İş Dağılımı'!A:B,2,0)</f>
        <v>Enver Toprak</v>
      </c>
      <c r="D192" t="str">
        <f>VLOOKUP(B:B,'İş Dağılımı'!A:C,3,0)</f>
        <v>Aslı Balcı</v>
      </c>
      <c r="E192">
        <v>1246</v>
      </c>
      <c r="F192" t="str">
        <f>IFERROR(VLOOKUP(E:E,'Malzeme Listesi'!A:B,2,0),"")</f>
        <v>Parfüm</v>
      </c>
      <c r="G192" s="1">
        <f>VLOOKUP(E:E,'Malzeme Listesi'!A:C,3,0)</f>
        <v>20</v>
      </c>
      <c r="H192">
        <v>27</v>
      </c>
      <c r="I192" s="1">
        <f t="shared" si="2"/>
        <v>540</v>
      </c>
    </row>
    <row r="193" spans="1:9" x14ac:dyDescent="0.25">
      <c r="A193" s="2" t="s">
        <v>19</v>
      </c>
      <c r="B193">
        <v>2010</v>
      </c>
      <c r="C193" t="str">
        <f>VLOOKUP(B:B,'İş Dağılımı'!A:B,2,0)</f>
        <v>Enver Toprak</v>
      </c>
      <c r="D193" t="str">
        <f>VLOOKUP(B:B,'İş Dağılımı'!A:C,3,0)</f>
        <v>Aslı Balcı</v>
      </c>
      <c r="E193">
        <v>1725</v>
      </c>
      <c r="F193" t="str">
        <f>IFERROR(VLOOKUP(E:E,'Malzeme Listesi'!A:B,2,0),"")</f>
        <v>Deodorant</v>
      </c>
      <c r="G193" s="1">
        <f>VLOOKUP(E:E,'Malzeme Listesi'!A:C,3,0)</f>
        <v>37</v>
      </c>
      <c r="H193">
        <v>12</v>
      </c>
      <c r="I193" s="1">
        <f t="shared" si="2"/>
        <v>444</v>
      </c>
    </row>
    <row r="194" spans="1:9" x14ac:dyDescent="0.25">
      <c r="A194" s="2" t="s">
        <v>19</v>
      </c>
      <c r="B194">
        <v>2011</v>
      </c>
      <c r="C194" t="str">
        <f>VLOOKUP(B:B,'İş Dağılımı'!A:B,2,0)</f>
        <v>Recep Koca</v>
      </c>
      <c r="D194" t="str">
        <f>VLOOKUP(B:B,'İş Dağılımı'!A:C,3,0)</f>
        <v>Aslı Balcı</v>
      </c>
      <c r="E194">
        <v>1465</v>
      </c>
      <c r="F194" t="str">
        <f>IFERROR(VLOOKUP(E:E,'Malzeme Listesi'!A:B,2,0),"")</f>
        <v>Şampuan</v>
      </c>
      <c r="G194" s="1">
        <f>VLOOKUP(E:E,'Malzeme Listesi'!A:C,3,0)</f>
        <v>12</v>
      </c>
      <c r="H194">
        <v>23</v>
      </c>
      <c r="I194" s="1">
        <f t="shared" ref="I194:I257" si="3">H194*G194</f>
        <v>276</v>
      </c>
    </row>
    <row r="195" spans="1:9" x14ac:dyDescent="0.25">
      <c r="A195" s="2" t="s">
        <v>19</v>
      </c>
      <c r="B195">
        <v>2011</v>
      </c>
      <c r="C195" t="str">
        <f>VLOOKUP(B:B,'İş Dağılımı'!A:B,2,0)</f>
        <v>Recep Koca</v>
      </c>
      <c r="D195" t="str">
        <f>VLOOKUP(B:B,'İş Dağılımı'!A:C,3,0)</f>
        <v>Aslı Balcı</v>
      </c>
      <c r="E195">
        <v>1246</v>
      </c>
      <c r="F195" t="str">
        <f>IFERROR(VLOOKUP(E:E,'Malzeme Listesi'!A:B,2,0),"")</f>
        <v>Parfüm</v>
      </c>
      <c r="G195" s="1">
        <f>VLOOKUP(E:E,'Malzeme Listesi'!A:C,3,0)</f>
        <v>20</v>
      </c>
      <c r="H195">
        <v>4</v>
      </c>
      <c r="I195" s="1">
        <f t="shared" si="3"/>
        <v>80</v>
      </c>
    </row>
    <row r="196" spans="1:9" x14ac:dyDescent="0.25">
      <c r="A196" s="2" t="s">
        <v>19</v>
      </c>
      <c r="B196">
        <v>2011</v>
      </c>
      <c r="C196" t="str">
        <f>VLOOKUP(B:B,'İş Dağılımı'!A:B,2,0)</f>
        <v>Recep Koca</v>
      </c>
      <c r="D196" t="str">
        <f>VLOOKUP(B:B,'İş Dağılımı'!A:C,3,0)</f>
        <v>Aslı Balcı</v>
      </c>
      <c r="E196">
        <v>1725</v>
      </c>
      <c r="F196" t="str">
        <f>IFERROR(VLOOKUP(E:E,'Malzeme Listesi'!A:B,2,0),"")</f>
        <v>Deodorant</v>
      </c>
      <c r="G196" s="1">
        <f>VLOOKUP(E:E,'Malzeme Listesi'!A:C,3,0)</f>
        <v>37</v>
      </c>
      <c r="H196">
        <v>0</v>
      </c>
      <c r="I196" s="1">
        <f t="shared" si="3"/>
        <v>0</v>
      </c>
    </row>
    <row r="197" spans="1:9" x14ac:dyDescent="0.25">
      <c r="A197" s="2" t="s">
        <v>19</v>
      </c>
      <c r="B197">
        <v>2012</v>
      </c>
      <c r="C197" t="str">
        <f>VLOOKUP(B:B,'İş Dağılımı'!A:B,2,0)</f>
        <v>Murat Maden</v>
      </c>
      <c r="D197" t="str">
        <f>VLOOKUP(B:B,'İş Dağılımı'!A:C,3,0)</f>
        <v>Kadri Işık</v>
      </c>
      <c r="E197">
        <v>1465</v>
      </c>
      <c r="F197" t="str">
        <f>IFERROR(VLOOKUP(E:E,'Malzeme Listesi'!A:B,2,0),"")</f>
        <v>Şampuan</v>
      </c>
      <c r="G197" s="1">
        <f>VLOOKUP(E:E,'Malzeme Listesi'!A:C,3,0)</f>
        <v>12</v>
      </c>
      <c r="H197">
        <v>20</v>
      </c>
      <c r="I197" s="1">
        <f t="shared" si="3"/>
        <v>240</v>
      </c>
    </row>
    <row r="198" spans="1:9" x14ac:dyDescent="0.25">
      <c r="A198" s="2" t="s">
        <v>19</v>
      </c>
      <c r="B198">
        <v>2012</v>
      </c>
      <c r="C198" t="str">
        <f>VLOOKUP(B:B,'İş Dağılımı'!A:B,2,0)</f>
        <v>Murat Maden</v>
      </c>
      <c r="D198" t="str">
        <f>VLOOKUP(B:B,'İş Dağılımı'!A:C,3,0)</f>
        <v>Kadri Işık</v>
      </c>
      <c r="E198">
        <v>1246</v>
      </c>
      <c r="F198" t="str">
        <f>IFERROR(VLOOKUP(E:E,'Malzeme Listesi'!A:B,2,0),"")</f>
        <v>Parfüm</v>
      </c>
      <c r="G198" s="1">
        <f>VLOOKUP(E:E,'Malzeme Listesi'!A:C,3,0)</f>
        <v>20</v>
      </c>
      <c r="H198">
        <v>20</v>
      </c>
      <c r="I198" s="1">
        <f t="shared" si="3"/>
        <v>400</v>
      </c>
    </row>
    <row r="199" spans="1:9" x14ac:dyDescent="0.25">
      <c r="A199" s="2" t="s">
        <v>19</v>
      </c>
      <c r="B199">
        <v>2012</v>
      </c>
      <c r="C199" t="str">
        <f>VLOOKUP(B:B,'İş Dağılımı'!A:B,2,0)</f>
        <v>Murat Maden</v>
      </c>
      <c r="D199" t="str">
        <f>VLOOKUP(B:B,'İş Dağılımı'!A:C,3,0)</f>
        <v>Kadri Işık</v>
      </c>
      <c r="E199">
        <v>1725</v>
      </c>
      <c r="F199" t="str">
        <f>IFERROR(VLOOKUP(E:E,'Malzeme Listesi'!A:B,2,0),"")</f>
        <v>Deodorant</v>
      </c>
      <c r="G199" s="1">
        <f>VLOOKUP(E:E,'Malzeme Listesi'!A:C,3,0)</f>
        <v>37</v>
      </c>
      <c r="H199">
        <v>20</v>
      </c>
      <c r="I199" s="1">
        <f t="shared" si="3"/>
        <v>740</v>
      </c>
    </row>
    <row r="200" spans="1:9" x14ac:dyDescent="0.25">
      <c r="A200" s="2" t="s">
        <v>19</v>
      </c>
      <c r="B200">
        <v>2013</v>
      </c>
      <c r="C200" t="str">
        <f>VLOOKUP(B:B,'İş Dağılımı'!A:B,2,0)</f>
        <v>Zeki Civan</v>
      </c>
      <c r="D200" t="str">
        <f>VLOOKUP(B:B,'İş Dağılımı'!A:C,3,0)</f>
        <v>Engin Demir</v>
      </c>
      <c r="E200">
        <v>1465</v>
      </c>
      <c r="F200" t="str">
        <f>IFERROR(VLOOKUP(E:E,'Malzeme Listesi'!A:B,2,0),"")</f>
        <v>Şampuan</v>
      </c>
      <c r="G200" s="1">
        <f>VLOOKUP(E:E,'Malzeme Listesi'!A:C,3,0)</f>
        <v>12</v>
      </c>
      <c r="H200">
        <v>8</v>
      </c>
      <c r="I200" s="1">
        <f t="shared" si="3"/>
        <v>96</v>
      </c>
    </row>
    <row r="201" spans="1:9" x14ac:dyDescent="0.25">
      <c r="A201" s="2" t="s">
        <v>19</v>
      </c>
      <c r="B201">
        <v>2013</v>
      </c>
      <c r="C201" t="str">
        <f>VLOOKUP(B:B,'İş Dağılımı'!A:B,2,0)</f>
        <v>Zeki Civan</v>
      </c>
      <c r="D201" t="str">
        <f>VLOOKUP(B:B,'İş Dağılımı'!A:C,3,0)</f>
        <v>Engin Demir</v>
      </c>
      <c r="E201">
        <v>1246</v>
      </c>
      <c r="F201" t="str">
        <f>IFERROR(VLOOKUP(E:E,'Malzeme Listesi'!A:B,2,0),"")</f>
        <v>Parfüm</v>
      </c>
      <c r="G201" s="1">
        <f>VLOOKUP(E:E,'Malzeme Listesi'!A:C,3,0)</f>
        <v>20</v>
      </c>
      <c r="H201">
        <v>41</v>
      </c>
      <c r="I201" s="1">
        <f t="shared" si="3"/>
        <v>820</v>
      </c>
    </row>
    <row r="202" spans="1:9" x14ac:dyDescent="0.25">
      <c r="A202" s="2" t="s">
        <v>19</v>
      </c>
      <c r="B202">
        <v>2013</v>
      </c>
      <c r="C202" t="str">
        <f>VLOOKUP(B:B,'İş Dağılımı'!A:B,2,0)</f>
        <v>Zeki Civan</v>
      </c>
      <c r="D202" t="str">
        <f>VLOOKUP(B:B,'İş Dağılımı'!A:C,3,0)</f>
        <v>Engin Demir</v>
      </c>
      <c r="E202">
        <v>1725</v>
      </c>
      <c r="F202" t="str">
        <f>IFERROR(VLOOKUP(E:E,'Malzeme Listesi'!A:B,2,0),"")</f>
        <v>Deodorant</v>
      </c>
      <c r="G202" s="1">
        <f>VLOOKUP(E:E,'Malzeme Listesi'!A:C,3,0)</f>
        <v>37</v>
      </c>
      <c r="H202">
        <v>26</v>
      </c>
      <c r="I202" s="1">
        <f t="shared" si="3"/>
        <v>962</v>
      </c>
    </row>
    <row r="203" spans="1:9" x14ac:dyDescent="0.25">
      <c r="A203" s="2" t="s">
        <v>19</v>
      </c>
      <c r="B203">
        <v>2014</v>
      </c>
      <c r="C203" t="str">
        <f>VLOOKUP(B:B,'İş Dağılımı'!A:B,2,0)</f>
        <v>Gülsüm Çalışkan</v>
      </c>
      <c r="D203" t="str">
        <f>VLOOKUP(B:B,'İş Dağılımı'!A:C,3,0)</f>
        <v>Engin Demir</v>
      </c>
      <c r="E203">
        <v>1465</v>
      </c>
      <c r="F203" t="str">
        <f>IFERROR(VLOOKUP(E:E,'Malzeme Listesi'!A:B,2,0),"")</f>
        <v>Şampuan</v>
      </c>
      <c r="G203" s="1">
        <f>VLOOKUP(E:E,'Malzeme Listesi'!A:C,3,0)</f>
        <v>12</v>
      </c>
      <c r="H203">
        <v>11</v>
      </c>
      <c r="I203" s="1">
        <f t="shared" si="3"/>
        <v>132</v>
      </c>
    </row>
    <row r="204" spans="1:9" x14ac:dyDescent="0.25">
      <c r="A204" s="2" t="s">
        <v>19</v>
      </c>
      <c r="B204">
        <v>2014</v>
      </c>
      <c r="C204" t="str">
        <f>VLOOKUP(B:B,'İş Dağılımı'!A:B,2,0)</f>
        <v>Gülsüm Çalışkan</v>
      </c>
      <c r="D204" t="str">
        <f>VLOOKUP(B:B,'İş Dağılımı'!A:C,3,0)</f>
        <v>Engin Demir</v>
      </c>
      <c r="E204">
        <v>1246</v>
      </c>
      <c r="F204" t="str">
        <f>IFERROR(VLOOKUP(E:E,'Malzeme Listesi'!A:B,2,0),"")</f>
        <v>Parfüm</v>
      </c>
      <c r="G204" s="1">
        <f>VLOOKUP(E:E,'Malzeme Listesi'!A:C,3,0)</f>
        <v>20</v>
      </c>
      <c r="H204">
        <v>13</v>
      </c>
      <c r="I204" s="1">
        <f t="shared" si="3"/>
        <v>260</v>
      </c>
    </row>
    <row r="205" spans="1:9" x14ac:dyDescent="0.25">
      <c r="A205" s="2" t="s">
        <v>19</v>
      </c>
      <c r="B205">
        <v>2014</v>
      </c>
      <c r="C205" t="str">
        <f>VLOOKUP(B:B,'İş Dağılımı'!A:B,2,0)</f>
        <v>Gülsüm Çalışkan</v>
      </c>
      <c r="D205" t="str">
        <f>VLOOKUP(B:B,'İş Dağılımı'!A:C,3,0)</f>
        <v>Engin Demir</v>
      </c>
      <c r="E205">
        <v>1725</v>
      </c>
      <c r="F205" t="str">
        <f>IFERROR(VLOOKUP(E:E,'Malzeme Listesi'!A:B,2,0),"")</f>
        <v>Deodorant</v>
      </c>
      <c r="G205" s="1">
        <f>VLOOKUP(E:E,'Malzeme Listesi'!A:C,3,0)</f>
        <v>37</v>
      </c>
      <c r="H205">
        <v>26</v>
      </c>
      <c r="I205" s="1">
        <f t="shared" si="3"/>
        <v>962</v>
      </c>
    </row>
    <row r="206" spans="1:9" x14ac:dyDescent="0.25">
      <c r="A206" s="2" t="s">
        <v>20</v>
      </c>
      <c r="B206">
        <v>1998</v>
      </c>
      <c r="C206" t="str">
        <f>VLOOKUP(B:B,'İş Dağılımı'!A:B,2,0)</f>
        <v>Ayşe Zengin</v>
      </c>
      <c r="D206" t="str">
        <f>VLOOKUP(B:B,'İş Dağılımı'!A:C,3,0)</f>
        <v>Kadri Işık</v>
      </c>
      <c r="E206">
        <v>1465</v>
      </c>
      <c r="F206" t="str">
        <f>IFERROR(VLOOKUP(E:E,'Malzeme Listesi'!A:B,2,0),"")</f>
        <v>Şampuan</v>
      </c>
      <c r="G206" s="1">
        <f>VLOOKUP(E:E,'Malzeme Listesi'!A:C,3,0)</f>
        <v>12</v>
      </c>
      <c r="H206">
        <v>34</v>
      </c>
      <c r="I206" s="1">
        <f t="shared" si="3"/>
        <v>408</v>
      </c>
    </row>
    <row r="207" spans="1:9" x14ac:dyDescent="0.25">
      <c r="A207" s="2" t="s">
        <v>20</v>
      </c>
      <c r="B207">
        <v>1998</v>
      </c>
      <c r="C207" t="str">
        <f>VLOOKUP(B:B,'İş Dağılımı'!A:B,2,0)</f>
        <v>Ayşe Zengin</v>
      </c>
      <c r="D207" t="str">
        <f>VLOOKUP(B:B,'İş Dağılımı'!A:C,3,0)</f>
        <v>Kadri Işık</v>
      </c>
      <c r="E207">
        <v>1246</v>
      </c>
      <c r="F207" t="str">
        <f>IFERROR(VLOOKUP(E:E,'Malzeme Listesi'!A:B,2,0),"")</f>
        <v>Parfüm</v>
      </c>
      <c r="G207" s="1">
        <f>VLOOKUP(E:E,'Malzeme Listesi'!A:C,3,0)</f>
        <v>20</v>
      </c>
      <c r="H207">
        <v>33</v>
      </c>
      <c r="I207" s="1">
        <f t="shared" si="3"/>
        <v>660</v>
      </c>
    </row>
    <row r="208" spans="1:9" x14ac:dyDescent="0.25">
      <c r="A208" s="2" t="s">
        <v>20</v>
      </c>
      <c r="B208">
        <v>1998</v>
      </c>
      <c r="C208" t="str">
        <f>VLOOKUP(B:B,'İş Dağılımı'!A:B,2,0)</f>
        <v>Ayşe Zengin</v>
      </c>
      <c r="D208" t="str">
        <f>VLOOKUP(B:B,'İş Dağılımı'!A:C,3,0)</f>
        <v>Kadri Işık</v>
      </c>
      <c r="E208">
        <v>1725</v>
      </c>
      <c r="F208" t="str">
        <f>IFERROR(VLOOKUP(E:E,'Malzeme Listesi'!A:B,2,0),"")</f>
        <v>Deodorant</v>
      </c>
      <c r="G208" s="1">
        <f>VLOOKUP(E:E,'Malzeme Listesi'!A:C,3,0)</f>
        <v>37</v>
      </c>
      <c r="H208">
        <v>42</v>
      </c>
      <c r="I208" s="1">
        <f t="shared" si="3"/>
        <v>1554</v>
      </c>
    </row>
    <row r="209" spans="1:9" x14ac:dyDescent="0.25">
      <c r="A209" s="2" t="s">
        <v>20</v>
      </c>
      <c r="B209">
        <v>1999</v>
      </c>
      <c r="C209" t="str">
        <f>VLOOKUP(B:B,'İş Dağılımı'!A:B,2,0)</f>
        <v>Gamze Öztürk</v>
      </c>
      <c r="D209" t="str">
        <f>VLOOKUP(B:B,'İş Dağılımı'!A:C,3,0)</f>
        <v>Engin Demir</v>
      </c>
      <c r="E209">
        <v>1465</v>
      </c>
      <c r="F209" t="str">
        <f>IFERROR(VLOOKUP(E:E,'Malzeme Listesi'!A:B,2,0),"")</f>
        <v>Şampuan</v>
      </c>
      <c r="G209" s="1">
        <f>VLOOKUP(E:E,'Malzeme Listesi'!A:C,3,0)</f>
        <v>12</v>
      </c>
      <c r="H209">
        <v>47</v>
      </c>
      <c r="I209" s="1">
        <f t="shared" si="3"/>
        <v>564</v>
      </c>
    </row>
    <row r="210" spans="1:9" x14ac:dyDescent="0.25">
      <c r="A210" s="2" t="s">
        <v>20</v>
      </c>
      <c r="B210">
        <v>1999</v>
      </c>
      <c r="C210" t="str">
        <f>VLOOKUP(B:B,'İş Dağılımı'!A:B,2,0)</f>
        <v>Gamze Öztürk</v>
      </c>
      <c r="D210" t="str">
        <f>VLOOKUP(B:B,'İş Dağılımı'!A:C,3,0)</f>
        <v>Engin Demir</v>
      </c>
      <c r="E210">
        <v>1246</v>
      </c>
      <c r="F210" t="str">
        <f>IFERROR(VLOOKUP(E:E,'Malzeme Listesi'!A:B,2,0),"")</f>
        <v>Parfüm</v>
      </c>
      <c r="G210" s="1">
        <f>VLOOKUP(E:E,'Malzeme Listesi'!A:C,3,0)</f>
        <v>20</v>
      </c>
      <c r="H210">
        <v>3</v>
      </c>
      <c r="I210" s="1">
        <f t="shared" si="3"/>
        <v>60</v>
      </c>
    </row>
    <row r="211" spans="1:9" x14ac:dyDescent="0.25">
      <c r="A211" s="2" t="s">
        <v>20</v>
      </c>
      <c r="B211">
        <v>1999</v>
      </c>
      <c r="C211" t="str">
        <f>VLOOKUP(B:B,'İş Dağılımı'!A:B,2,0)</f>
        <v>Gamze Öztürk</v>
      </c>
      <c r="D211" t="str">
        <f>VLOOKUP(B:B,'İş Dağılımı'!A:C,3,0)</f>
        <v>Engin Demir</v>
      </c>
      <c r="E211">
        <v>1725</v>
      </c>
      <c r="F211" t="str">
        <f>IFERROR(VLOOKUP(E:E,'Malzeme Listesi'!A:B,2,0),"")</f>
        <v>Deodorant</v>
      </c>
      <c r="G211" s="1">
        <f>VLOOKUP(E:E,'Malzeme Listesi'!A:C,3,0)</f>
        <v>37</v>
      </c>
      <c r="H211">
        <v>40</v>
      </c>
      <c r="I211" s="1">
        <f t="shared" si="3"/>
        <v>1480</v>
      </c>
    </row>
    <row r="212" spans="1:9" x14ac:dyDescent="0.25">
      <c r="A212" s="2" t="s">
        <v>20</v>
      </c>
      <c r="B212">
        <v>2000</v>
      </c>
      <c r="C212" t="str">
        <f>VLOOKUP(B:B,'İş Dağılımı'!A:B,2,0)</f>
        <v>Melike Kara</v>
      </c>
      <c r="D212" t="str">
        <f>VLOOKUP(B:B,'İş Dağılımı'!A:C,3,0)</f>
        <v>Aslı Balcı</v>
      </c>
      <c r="E212">
        <v>1465</v>
      </c>
      <c r="F212" t="str">
        <f>IFERROR(VLOOKUP(E:E,'Malzeme Listesi'!A:B,2,0),"")</f>
        <v>Şampuan</v>
      </c>
      <c r="G212" s="1">
        <f>VLOOKUP(E:E,'Malzeme Listesi'!A:C,3,0)</f>
        <v>12</v>
      </c>
      <c r="H212">
        <v>22</v>
      </c>
      <c r="I212" s="1">
        <f t="shared" si="3"/>
        <v>264</v>
      </c>
    </row>
    <row r="213" spans="1:9" x14ac:dyDescent="0.25">
      <c r="A213" s="2" t="s">
        <v>20</v>
      </c>
      <c r="B213">
        <v>2000</v>
      </c>
      <c r="C213" t="str">
        <f>VLOOKUP(B:B,'İş Dağılımı'!A:B,2,0)</f>
        <v>Melike Kara</v>
      </c>
      <c r="D213" t="str">
        <f>VLOOKUP(B:B,'İş Dağılımı'!A:C,3,0)</f>
        <v>Aslı Balcı</v>
      </c>
      <c r="E213">
        <v>1246</v>
      </c>
      <c r="F213" t="str">
        <f>IFERROR(VLOOKUP(E:E,'Malzeme Listesi'!A:B,2,0),"")</f>
        <v>Parfüm</v>
      </c>
      <c r="G213" s="1">
        <f>VLOOKUP(E:E,'Malzeme Listesi'!A:C,3,0)</f>
        <v>20</v>
      </c>
      <c r="H213">
        <v>36</v>
      </c>
      <c r="I213" s="1">
        <f t="shared" si="3"/>
        <v>720</v>
      </c>
    </row>
    <row r="214" spans="1:9" x14ac:dyDescent="0.25">
      <c r="A214" s="2" t="s">
        <v>20</v>
      </c>
      <c r="B214">
        <v>2000</v>
      </c>
      <c r="C214" t="str">
        <f>VLOOKUP(B:B,'İş Dağılımı'!A:B,2,0)</f>
        <v>Melike Kara</v>
      </c>
      <c r="D214" t="str">
        <f>VLOOKUP(B:B,'İş Dağılımı'!A:C,3,0)</f>
        <v>Aslı Balcı</v>
      </c>
      <c r="E214">
        <v>1725</v>
      </c>
      <c r="F214" t="str">
        <f>IFERROR(VLOOKUP(E:E,'Malzeme Listesi'!A:B,2,0),"")</f>
        <v>Deodorant</v>
      </c>
      <c r="G214" s="1">
        <f>VLOOKUP(E:E,'Malzeme Listesi'!A:C,3,0)</f>
        <v>37</v>
      </c>
      <c r="H214">
        <v>11</v>
      </c>
      <c r="I214" s="1">
        <f t="shared" si="3"/>
        <v>407</v>
      </c>
    </row>
    <row r="215" spans="1:9" x14ac:dyDescent="0.25">
      <c r="A215" s="2" t="s">
        <v>20</v>
      </c>
      <c r="B215">
        <v>2001</v>
      </c>
      <c r="C215" t="str">
        <f>VLOOKUP(B:B,'İş Dağılımı'!A:B,2,0)</f>
        <v>Emine Şimşek</v>
      </c>
      <c r="D215" t="str">
        <f>VLOOKUP(B:B,'İş Dağılımı'!A:C,3,0)</f>
        <v>Aslı Balcı</v>
      </c>
      <c r="E215">
        <v>1465</v>
      </c>
      <c r="F215" t="str">
        <f>IFERROR(VLOOKUP(E:E,'Malzeme Listesi'!A:B,2,0),"")</f>
        <v>Şampuan</v>
      </c>
      <c r="G215" s="1">
        <f>VLOOKUP(E:E,'Malzeme Listesi'!A:C,3,0)</f>
        <v>12</v>
      </c>
      <c r="H215">
        <v>38</v>
      </c>
      <c r="I215" s="1">
        <f t="shared" si="3"/>
        <v>456</v>
      </c>
    </row>
    <row r="216" spans="1:9" x14ac:dyDescent="0.25">
      <c r="A216" s="2" t="s">
        <v>20</v>
      </c>
      <c r="B216">
        <v>2001</v>
      </c>
      <c r="C216" t="str">
        <f>VLOOKUP(B:B,'İş Dağılımı'!A:B,2,0)</f>
        <v>Emine Şimşek</v>
      </c>
      <c r="D216" t="str">
        <f>VLOOKUP(B:B,'İş Dağılımı'!A:C,3,0)</f>
        <v>Aslı Balcı</v>
      </c>
      <c r="E216">
        <v>1246</v>
      </c>
      <c r="F216" t="str">
        <f>IFERROR(VLOOKUP(E:E,'Malzeme Listesi'!A:B,2,0),"")</f>
        <v>Parfüm</v>
      </c>
      <c r="G216" s="1">
        <f>VLOOKUP(E:E,'Malzeme Listesi'!A:C,3,0)</f>
        <v>20</v>
      </c>
      <c r="H216">
        <v>42</v>
      </c>
      <c r="I216" s="1">
        <f t="shared" si="3"/>
        <v>840</v>
      </c>
    </row>
    <row r="217" spans="1:9" x14ac:dyDescent="0.25">
      <c r="A217" s="2" t="s">
        <v>20</v>
      </c>
      <c r="B217">
        <v>2001</v>
      </c>
      <c r="C217" t="str">
        <f>VLOOKUP(B:B,'İş Dağılımı'!A:B,2,0)</f>
        <v>Emine Şimşek</v>
      </c>
      <c r="D217" t="str">
        <f>VLOOKUP(B:B,'İş Dağılımı'!A:C,3,0)</f>
        <v>Aslı Balcı</v>
      </c>
      <c r="E217">
        <v>1725</v>
      </c>
      <c r="F217" t="str">
        <f>IFERROR(VLOOKUP(E:E,'Malzeme Listesi'!A:B,2,0),"")</f>
        <v>Deodorant</v>
      </c>
      <c r="G217" s="1">
        <f>VLOOKUP(E:E,'Malzeme Listesi'!A:C,3,0)</f>
        <v>37</v>
      </c>
      <c r="H217">
        <v>9</v>
      </c>
      <c r="I217" s="1">
        <f t="shared" si="3"/>
        <v>333</v>
      </c>
    </row>
    <row r="218" spans="1:9" x14ac:dyDescent="0.25">
      <c r="A218" s="2" t="s">
        <v>20</v>
      </c>
      <c r="B218">
        <v>2002</v>
      </c>
      <c r="C218" t="str">
        <f>VLOOKUP(B:B,'İş Dağılımı'!A:B,2,0)</f>
        <v>Adem Yıldız</v>
      </c>
      <c r="D218" t="str">
        <f>VLOOKUP(B:B,'İş Dağılımı'!A:C,3,0)</f>
        <v>Engin Demir</v>
      </c>
      <c r="E218">
        <v>1465</v>
      </c>
      <c r="F218" t="str">
        <f>IFERROR(VLOOKUP(E:E,'Malzeme Listesi'!A:B,2,0),"")</f>
        <v>Şampuan</v>
      </c>
      <c r="G218" s="1">
        <f>VLOOKUP(E:E,'Malzeme Listesi'!A:C,3,0)</f>
        <v>12</v>
      </c>
      <c r="H218">
        <v>4</v>
      </c>
      <c r="I218" s="1">
        <f t="shared" si="3"/>
        <v>48</v>
      </c>
    </row>
    <row r="219" spans="1:9" x14ac:dyDescent="0.25">
      <c r="A219" s="2" t="s">
        <v>20</v>
      </c>
      <c r="B219">
        <v>2002</v>
      </c>
      <c r="C219" t="str">
        <f>VLOOKUP(B:B,'İş Dağılımı'!A:B,2,0)</f>
        <v>Adem Yıldız</v>
      </c>
      <c r="D219" t="str">
        <f>VLOOKUP(B:B,'İş Dağılımı'!A:C,3,0)</f>
        <v>Engin Demir</v>
      </c>
      <c r="E219">
        <v>1246</v>
      </c>
      <c r="F219" t="str">
        <f>IFERROR(VLOOKUP(E:E,'Malzeme Listesi'!A:B,2,0),"")</f>
        <v>Parfüm</v>
      </c>
      <c r="G219" s="1">
        <f>VLOOKUP(E:E,'Malzeme Listesi'!A:C,3,0)</f>
        <v>20</v>
      </c>
      <c r="H219">
        <v>21</v>
      </c>
      <c r="I219" s="1">
        <f t="shared" si="3"/>
        <v>420</v>
      </c>
    </row>
    <row r="220" spans="1:9" x14ac:dyDescent="0.25">
      <c r="A220" s="2" t="s">
        <v>20</v>
      </c>
      <c r="B220">
        <v>2002</v>
      </c>
      <c r="C220" t="str">
        <f>VLOOKUP(B:B,'İş Dağılımı'!A:B,2,0)</f>
        <v>Adem Yıldız</v>
      </c>
      <c r="D220" t="str">
        <f>VLOOKUP(B:B,'İş Dağılımı'!A:C,3,0)</f>
        <v>Engin Demir</v>
      </c>
      <c r="E220">
        <v>1725</v>
      </c>
      <c r="F220" t="str">
        <f>IFERROR(VLOOKUP(E:E,'Malzeme Listesi'!A:B,2,0),"")</f>
        <v>Deodorant</v>
      </c>
      <c r="G220" s="1">
        <f>VLOOKUP(E:E,'Malzeme Listesi'!A:C,3,0)</f>
        <v>37</v>
      </c>
      <c r="H220">
        <v>22</v>
      </c>
      <c r="I220" s="1">
        <f t="shared" si="3"/>
        <v>814</v>
      </c>
    </row>
    <row r="221" spans="1:9" x14ac:dyDescent="0.25">
      <c r="A221" s="2" t="s">
        <v>20</v>
      </c>
      <c r="B221">
        <v>2003</v>
      </c>
      <c r="C221" t="str">
        <f>VLOOKUP(B:B,'İş Dağılımı'!A:B,2,0)</f>
        <v>İbrahim Vural</v>
      </c>
      <c r="D221" t="str">
        <f>VLOOKUP(B:B,'İş Dağılımı'!A:C,3,0)</f>
        <v>Engin Demir</v>
      </c>
      <c r="E221">
        <v>1465</v>
      </c>
      <c r="F221" t="str">
        <f>IFERROR(VLOOKUP(E:E,'Malzeme Listesi'!A:B,2,0),"")</f>
        <v>Şampuan</v>
      </c>
      <c r="G221" s="1">
        <f>VLOOKUP(E:E,'Malzeme Listesi'!A:C,3,0)</f>
        <v>12</v>
      </c>
      <c r="H221">
        <v>54</v>
      </c>
      <c r="I221" s="1">
        <f t="shared" si="3"/>
        <v>648</v>
      </c>
    </row>
    <row r="222" spans="1:9" x14ac:dyDescent="0.25">
      <c r="A222" s="2" t="s">
        <v>20</v>
      </c>
      <c r="B222">
        <v>2003</v>
      </c>
      <c r="C222" t="str">
        <f>VLOOKUP(B:B,'İş Dağılımı'!A:B,2,0)</f>
        <v>İbrahim Vural</v>
      </c>
      <c r="D222" t="str">
        <f>VLOOKUP(B:B,'İş Dağılımı'!A:C,3,0)</f>
        <v>Engin Demir</v>
      </c>
      <c r="E222">
        <v>1246</v>
      </c>
      <c r="F222" t="str">
        <f>IFERROR(VLOOKUP(E:E,'Malzeme Listesi'!A:B,2,0),"")</f>
        <v>Parfüm</v>
      </c>
      <c r="G222" s="1">
        <f>VLOOKUP(E:E,'Malzeme Listesi'!A:C,3,0)</f>
        <v>20</v>
      </c>
      <c r="H222">
        <v>32</v>
      </c>
      <c r="I222" s="1">
        <f t="shared" si="3"/>
        <v>640</v>
      </c>
    </row>
    <row r="223" spans="1:9" x14ac:dyDescent="0.25">
      <c r="A223" s="2" t="s">
        <v>20</v>
      </c>
      <c r="B223">
        <v>2003</v>
      </c>
      <c r="C223" t="str">
        <f>VLOOKUP(B:B,'İş Dağılımı'!A:B,2,0)</f>
        <v>İbrahim Vural</v>
      </c>
      <c r="D223" t="str">
        <f>VLOOKUP(B:B,'İş Dağılımı'!A:C,3,0)</f>
        <v>Engin Demir</v>
      </c>
      <c r="E223">
        <v>1725</v>
      </c>
      <c r="F223" t="str">
        <f>IFERROR(VLOOKUP(E:E,'Malzeme Listesi'!A:B,2,0),"")</f>
        <v>Deodorant</v>
      </c>
      <c r="G223" s="1">
        <f>VLOOKUP(E:E,'Malzeme Listesi'!A:C,3,0)</f>
        <v>37</v>
      </c>
      <c r="H223">
        <v>24</v>
      </c>
      <c r="I223" s="1">
        <f t="shared" si="3"/>
        <v>888</v>
      </c>
    </row>
    <row r="224" spans="1:9" x14ac:dyDescent="0.25">
      <c r="A224" s="2" t="s">
        <v>20</v>
      </c>
      <c r="B224">
        <v>2004</v>
      </c>
      <c r="C224" t="str">
        <f>VLOOKUP(B:B,'İş Dağılımı'!A:B,2,0)</f>
        <v>Mehmet Sodacı</v>
      </c>
      <c r="D224" t="str">
        <f>VLOOKUP(B:B,'İş Dağılımı'!A:C,3,0)</f>
        <v>Engin Demir</v>
      </c>
      <c r="E224">
        <v>1465</v>
      </c>
      <c r="F224" t="str">
        <f>IFERROR(VLOOKUP(E:E,'Malzeme Listesi'!A:B,2,0),"")</f>
        <v>Şampuan</v>
      </c>
      <c r="G224" s="1">
        <f>VLOOKUP(E:E,'Malzeme Listesi'!A:C,3,0)</f>
        <v>12</v>
      </c>
      <c r="H224">
        <v>22</v>
      </c>
      <c r="I224" s="1">
        <f t="shared" si="3"/>
        <v>264</v>
      </c>
    </row>
    <row r="225" spans="1:9" x14ac:dyDescent="0.25">
      <c r="A225" s="2" t="s">
        <v>20</v>
      </c>
      <c r="B225">
        <v>2004</v>
      </c>
      <c r="C225" t="str">
        <f>VLOOKUP(B:B,'İş Dağılımı'!A:B,2,0)</f>
        <v>Mehmet Sodacı</v>
      </c>
      <c r="D225" t="str">
        <f>VLOOKUP(B:B,'İş Dağılımı'!A:C,3,0)</f>
        <v>Engin Demir</v>
      </c>
      <c r="E225">
        <v>1246</v>
      </c>
      <c r="F225" t="str">
        <f>IFERROR(VLOOKUP(E:E,'Malzeme Listesi'!A:B,2,0),"")</f>
        <v>Parfüm</v>
      </c>
      <c r="G225" s="1">
        <f>VLOOKUP(E:E,'Malzeme Listesi'!A:C,3,0)</f>
        <v>20</v>
      </c>
      <c r="H225">
        <v>7</v>
      </c>
      <c r="I225" s="1">
        <f t="shared" si="3"/>
        <v>140</v>
      </c>
    </row>
    <row r="226" spans="1:9" x14ac:dyDescent="0.25">
      <c r="A226" s="2" t="s">
        <v>20</v>
      </c>
      <c r="B226">
        <v>2004</v>
      </c>
      <c r="C226" t="str">
        <f>VLOOKUP(B:B,'İş Dağılımı'!A:B,2,0)</f>
        <v>Mehmet Sodacı</v>
      </c>
      <c r="D226" t="str">
        <f>VLOOKUP(B:B,'İş Dağılımı'!A:C,3,0)</f>
        <v>Engin Demir</v>
      </c>
      <c r="E226">
        <v>1725</v>
      </c>
      <c r="F226" t="str">
        <f>IFERROR(VLOOKUP(E:E,'Malzeme Listesi'!A:B,2,0),"")</f>
        <v>Deodorant</v>
      </c>
      <c r="G226" s="1">
        <f>VLOOKUP(E:E,'Malzeme Listesi'!A:C,3,0)</f>
        <v>37</v>
      </c>
      <c r="H226">
        <v>25</v>
      </c>
      <c r="I226" s="1">
        <f t="shared" si="3"/>
        <v>925</v>
      </c>
    </row>
    <row r="227" spans="1:9" x14ac:dyDescent="0.25">
      <c r="A227" s="2" t="s">
        <v>20</v>
      </c>
      <c r="B227">
        <v>2005</v>
      </c>
      <c r="C227" t="str">
        <f>VLOOKUP(B:B,'İş Dağılımı'!A:B,2,0)</f>
        <v>Mete Özak</v>
      </c>
      <c r="D227" t="str">
        <f>VLOOKUP(B:B,'İş Dağılımı'!A:C,3,0)</f>
        <v>Kadri Işık</v>
      </c>
      <c r="E227">
        <v>1465</v>
      </c>
      <c r="F227" t="str">
        <f>IFERROR(VLOOKUP(E:E,'Malzeme Listesi'!A:B,2,0),"")</f>
        <v>Şampuan</v>
      </c>
      <c r="G227" s="1">
        <f>VLOOKUP(E:E,'Malzeme Listesi'!A:C,3,0)</f>
        <v>12</v>
      </c>
      <c r="H227">
        <v>10</v>
      </c>
      <c r="I227" s="1">
        <f t="shared" si="3"/>
        <v>120</v>
      </c>
    </row>
    <row r="228" spans="1:9" x14ac:dyDescent="0.25">
      <c r="A228" s="2" t="s">
        <v>20</v>
      </c>
      <c r="B228">
        <v>2005</v>
      </c>
      <c r="C228" t="str">
        <f>VLOOKUP(B:B,'İş Dağılımı'!A:B,2,0)</f>
        <v>Mete Özak</v>
      </c>
      <c r="D228" t="str">
        <f>VLOOKUP(B:B,'İş Dağılımı'!A:C,3,0)</f>
        <v>Kadri Işık</v>
      </c>
      <c r="E228">
        <v>1246</v>
      </c>
      <c r="F228" t="str">
        <f>IFERROR(VLOOKUP(E:E,'Malzeme Listesi'!A:B,2,0),"")</f>
        <v>Parfüm</v>
      </c>
      <c r="G228" s="1">
        <f>VLOOKUP(E:E,'Malzeme Listesi'!A:C,3,0)</f>
        <v>20</v>
      </c>
      <c r="H228">
        <v>17</v>
      </c>
      <c r="I228" s="1">
        <f t="shared" si="3"/>
        <v>340</v>
      </c>
    </row>
    <row r="229" spans="1:9" x14ac:dyDescent="0.25">
      <c r="A229" s="2" t="s">
        <v>20</v>
      </c>
      <c r="B229">
        <v>2005</v>
      </c>
      <c r="C229" t="str">
        <f>VLOOKUP(B:B,'İş Dağılımı'!A:B,2,0)</f>
        <v>Mete Özak</v>
      </c>
      <c r="D229" t="str">
        <f>VLOOKUP(B:B,'İş Dağılımı'!A:C,3,0)</f>
        <v>Kadri Işık</v>
      </c>
      <c r="E229">
        <v>1725</v>
      </c>
      <c r="F229" t="str">
        <f>IFERROR(VLOOKUP(E:E,'Malzeme Listesi'!A:B,2,0),"")</f>
        <v>Deodorant</v>
      </c>
      <c r="G229" s="1">
        <f>VLOOKUP(E:E,'Malzeme Listesi'!A:C,3,0)</f>
        <v>37</v>
      </c>
      <c r="H229">
        <v>30</v>
      </c>
      <c r="I229" s="1">
        <f t="shared" si="3"/>
        <v>1110</v>
      </c>
    </row>
    <row r="230" spans="1:9" x14ac:dyDescent="0.25">
      <c r="A230" s="2" t="s">
        <v>20</v>
      </c>
      <c r="B230">
        <v>2006</v>
      </c>
      <c r="C230" t="str">
        <f>VLOOKUP(B:B,'İş Dağılımı'!A:B,2,0)</f>
        <v>Fatih Güldüren</v>
      </c>
      <c r="D230" t="str">
        <f>VLOOKUP(B:B,'İş Dağılımı'!A:C,3,0)</f>
        <v>Aslı Balcı</v>
      </c>
      <c r="E230">
        <v>1465</v>
      </c>
      <c r="F230" t="str">
        <f>IFERROR(VLOOKUP(E:E,'Malzeme Listesi'!A:B,2,0),"")</f>
        <v>Şampuan</v>
      </c>
      <c r="G230" s="1">
        <f>VLOOKUP(E:E,'Malzeme Listesi'!A:C,3,0)</f>
        <v>12</v>
      </c>
      <c r="H230">
        <v>41</v>
      </c>
      <c r="I230" s="1">
        <f t="shared" si="3"/>
        <v>492</v>
      </c>
    </row>
    <row r="231" spans="1:9" x14ac:dyDescent="0.25">
      <c r="A231" s="2" t="s">
        <v>20</v>
      </c>
      <c r="B231">
        <v>2006</v>
      </c>
      <c r="C231" t="str">
        <f>VLOOKUP(B:B,'İş Dağılımı'!A:B,2,0)</f>
        <v>Fatih Güldüren</v>
      </c>
      <c r="D231" t="str">
        <f>VLOOKUP(B:B,'İş Dağılımı'!A:C,3,0)</f>
        <v>Aslı Balcı</v>
      </c>
      <c r="E231">
        <v>1246</v>
      </c>
      <c r="F231" t="str">
        <f>IFERROR(VLOOKUP(E:E,'Malzeme Listesi'!A:B,2,0),"")</f>
        <v>Parfüm</v>
      </c>
      <c r="G231" s="1">
        <f>VLOOKUP(E:E,'Malzeme Listesi'!A:C,3,0)</f>
        <v>20</v>
      </c>
      <c r="H231">
        <v>35</v>
      </c>
      <c r="I231" s="1">
        <f t="shared" si="3"/>
        <v>700</v>
      </c>
    </row>
    <row r="232" spans="1:9" x14ac:dyDescent="0.25">
      <c r="A232" s="2" t="s">
        <v>20</v>
      </c>
      <c r="B232">
        <v>2006</v>
      </c>
      <c r="C232" t="str">
        <f>VLOOKUP(B:B,'İş Dağılımı'!A:B,2,0)</f>
        <v>Fatih Güldüren</v>
      </c>
      <c r="D232" t="str">
        <f>VLOOKUP(B:B,'İş Dağılımı'!A:C,3,0)</f>
        <v>Aslı Balcı</v>
      </c>
      <c r="E232">
        <v>1725</v>
      </c>
      <c r="F232" t="str">
        <f>IFERROR(VLOOKUP(E:E,'Malzeme Listesi'!A:B,2,0),"")</f>
        <v>Deodorant</v>
      </c>
      <c r="G232" s="1">
        <f>VLOOKUP(E:E,'Malzeme Listesi'!A:C,3,0)</f>
        <v>37</v>
      </c>
      <c r="H232">
        <v>2</v>
      </c>
      <c r="I232" s="1">
        <f t="shared" si="3"/>
        <v>74</v>
      </c>
    </row>
    <row r="233" spans="1:9" x14ac:dyDescent="0.25">
      <c r="A233" s="2" t="s">
        <v>20</v>
      </c>
      <c r="B233">
        <v>2007</v>
      </c>
      <c r="C233" t="str">
        <f>VLOOKUP(B:B,'İş Dağılımı'!A:B,2,0)</f>
        <v>Zeynep Yetişen</v>
      </c>
      <c r="D233" t="str">
        <f>VLOOKUP(B:B,'İş Dağılımı'!A:C,3,0)</f>
        <v>Engin Demir</v>
      </c>
      <c r="E233">
        <v>1465</v>
      </c>
      <c r="F233" t="str">
        <f>IFERROR(VLOOKUP(E:E,'Malzeme Listesi'!A:B,2,0),"")</f>
        <v>Şampuan</v>
      </c>
      <c r="G233" s="1">
        <f>VLOOKUP(E:E,'Malzeme Listesi'!A:C,3,0)</f>
        <v>12</v>
      </c>
      <c r="H233">
        <v>7</v>
      </c>
      <c r="I233" s="1">
        <f t="shared" si="3"/>
        <v>84</v>
      </c>
    </row>
    <row r="234" spans="1:9" x14ac:dyDescent="0.25">
      <c r="A234" s="2" t="s">
        <v>20</v>
      </c>
      <c r="B234">
        <v>2007</v>
      </c>
      <c r="C234" t="str">
        <f>VLOOKUP(B:B,'İş Dağılımı'!A:B,2,0)</f>
        <v>Zeynep Yetişen</v>
      </c>
      <c r="D234" t="str">
        <f>VLOOKUP(B:B,'İş Dağılımı'!A:C,3,0)</f>
        <v>Engin Demir</v>
      </c>
      <c r="E234">
        <v>1246</v>
      </c>
      <c r="F234" t="str">
        <f>IFERROR(VLOOKUP(E:E,'Malzeme Listesi'!A:B,2,0),"")</f>
        <v>Parfüm</v>
      </c>
      <c r="G234" s="1">
        <f>VLOOKUP(E:E,'Malzeme Listesi'!A:C,3,0)</f>
        <v>20</v>
      </c>
      <c r="H234">
        <v>5</v>
      </c>
      <c r="I234" s="1">
        <f t="shared" si="3"/>
        <v>100</v>
      </c>
    </row>
    <row r="235" spans="1:9" x14ac:dyDescent="0.25">
      <c r="A235" s="2" t="s">
        <v>20</v>
      </c>
      <c r="B235">
        <v>2007</v>
      </c>
      <c r="C235" t="str">
        <f>VLOOKUP(B:B,'İş Dağılımı'!A:B,2,0)</f>
        <v>Zeynep Yetişen</v>
      </c>
      <c r="D235" t="str">
        <f>VLOOKUP(B:B,'İş Dağılımı'!A:C,3,0)</f>
        <v>Engin Demir</v>
      </c>
      <c r="E235">
        <v>1725</v>
      </c>
      <c r="F235" t="str">
        <f>IFERROR(VLOOKUP(E:E,'Malzeme Listesi'!A:B,2,0),"")</f>
        <v>Deodorant</v>
      </c>
      <c r="G235" s="1">
        <f>VLOOKUP(E:E,'Malzeme Listesi'!A:C,3,0)</f>
        <v>37</v>
      </c>
      <c r="H235">
        <v>5</v>
      </c>
      <c r="I235" s="1">
        <f t="shared" si="3"/>
        <v>185</v>
      </c>
    </row>
    <row r="236" spans="1:9" x14ac:dyDescent="0.25">
      <c r="A236" s="2" t="s">
        <v>20</v>
      </c>
      <c r="B236">
        <v>2008</v>
      </c>
      <c r="C236" t="str">
        <f>VLOOKUP(B:B,'İş Dağılımı'!A:B,2,0)</f>
        <v>Ediz Ekin</v>
      </c>
      <c r="D236" t="str">
        <f>VLOOKUP(B:B,'İş Dağılımı'!A:C,3,0)</f>
        <v>Kadri Işık</v>
      </c>
      <c r="E236">
        <v>1465</v>
      </c>
      <c r="F236" t="str">
        <f>IFERROR(VLOOKUP(E:E,'Malzeme Listesi'!A:B,2,0),"")</f>
        <v>Şampuan</v>
      </c>
      <c r="G236" s="1">
        <f>VLOOKUP(E:E,'Malzeme Listesi'!A:C,3,0)</f>
        <v>12</v>
      </c>
      <c r="H236">
        <v>8</v>
      </c>
      <c r="I236" s="1">
        <f t="shared" si="3"/>
        <v>96</v>
      </c>
    </row>
    <row r="237" spans="1:9" x14ac:dyDescent="0.25">
      <c r="A237" s="2" t="s">
        <v>20</v>
      </c>
      <c r="B237">
        <v>2008</v>
      </c>
      <c r="C237" t="str">
        <f>VLOOKUP(B:B,'İş Dağılımı'!A:B,2,0)</f>
        <v>Ediz Ekin</v>
      </c>
      <c r="D237" t="str">
        <f>VLOOKUP(B:B,'İş Dağılımı'!A:C,3,0)</f>
        <v>Kadri Işık</v>
      </c>
      <c r="E237">
        <v>1246</v>
      </c>
      <c r="F237" t="str">
        <f>IFERROR(VLOOKUP(E:E,'Malzeme Listesi'!A:B,2,0),"")</f>
        <v>Parfüm</v>
      </c>
      <c r="G237" s="1">
        <f>VLOOKUP(E:E,'Malzeme Listesi'!A:C,3,0)</f>
        <v>20</v>
      </c>
      <c r="H237">
        <v>20</v>
      </c>
      <c r="I237" s="1">
        <f t="shared" si="3"/>
        <v>400</v>
      </c>
    </row>
    <row r="238" spans="1:9" x14ac:dyDescent="0.25">
      <c r="A238" s="2" t="s">
        <v>20</v>
      </c>
      <c r="B238">
        <v>2008</v>
      </c>
      <c r="C238" t="str">
        <f>VLOOKUP(B:B,'İş Dağılımı'!A:B,2,0)</f>
        <v>Ediz Ekin</v>
      </c>
      <c r="D238" t="str">
        <f>VLOOKUP(B:B,'İş Dağılımı'!A:C,3,0)</f>
        <v>Kadri Işık</v>
      </c>
      <c r="E238">
        <v>1725</v>
      </c>
      <c r="F238" t="str">
        <f>IFERROR(VLOOKUP(E:E,'Malzeme Listesi'!A:B,2,0),"")</f>
        <v>Deodorant</v>
      </c>
      <c r="G238" s="1">
        <f>VLOOKUP(E:E,'Malzeme Listesi'!A:C,3,0)</f>
        <v>37</v>
      </c>
      <c r="H238">
        <v>9</v>
      </c>
      <c r="I238" s="1">
        <f t="shared" si="3"/>
        <v>333</v>
      </c>
    </row>
    <row r="239" spans="1:9" x14ac:dyDescent="0.25">
      <c r="A239" s="2" t="s">
        <v>20</v>
      </c>
      <c r="B239">
        <v>2009</v>
      </c>
      <c r="C239" t="str">
        <f>VLOOKUP(B:B,'İş Dağılımı'!A:B,2,0)</f>
        <v>Alper Çakır</v>
      </c>
      <c r="D239" t="str">
        <f>VLOOKUP(B:B,'İş Dağılımı'!A:C,3,0)</f>
        <v>Kadri Işık</v>
      </c>
      <c r="E239">
        <v>1465</v>
      </c>
      <c r="F239" t="str">
        <f>IFERROR(VLOOKUP(E:E,'Malzeme Listesi'!A:B,2,0),"")</f>
        <v>Şampuan</v>
      </c>
      <c r="G239" s="1">
        <f>VLOOKUP(E:E,'Malzeme Listesi'!A:C,3,0)</f>
        <v>12</v>
      </c>
      <c r="H239">
        <v>2</v>
      </c>
      <c r="I239" s="1">
        <f t="shared" si="3"/>
        <v>24</v>
      </c>
    </row>
    <row r="240" spans="1:9" x14ac:dyDescent="0.25">
      <c r="A240" s="2" t="s">
        <v>20</v>
      </c>
      <c r="B240">
        <v>2009</v>
      </c>
      <c r="C240" t="str">
        <f>VLOOKUP(B:B,'İş Dağılımı'!A:B,2,0)</f>
        <v>Alper Çakır</v>
      </c>
      <c r="D240" t="str">
        <f>VLOOKUP(B:B,'İş Dağılımı'!A:C,3,0)</f>
        <v>Kadri Işık</v>
      </c>
      <c r="E240">
        <v>1246</v>
      </c>
      <c r="F240" t="str">
        <f>IFERROR(VLOOKUP(E:E,'Malzeme Listesi'!A:B,2,0),"")</f>
        <v>Parfüm</v>
      </c>
      <c r="G240" s="1">
        <f>VLOOKUP(E:E,'Malzeme Listesi'!A:C,3,0)</f>
        <v>20</v>
      </c>
      <c r="H240">
        <v>42</v>
      </c>
      <c r="I240" s="1">
        <f t="shared" si="3"/>
        <v>840</v>
      </c>
    </row>
    <row r="241" spans="1:9" x14ac:dyDescent="0.25">
      <c r="A241" s="2" t="s">
        <v>20</v>
      </c>
      <c r="B241">
        <v>2009</v>
      </c>
      <c r="C241" t="str">
        <f>VLOOKUP(B:B,'İş Dağılımı'!A:B,2,0)</f>
        <v>Alper Çakır</v>
      </c>
      <c r="D241" t="str">
        <f>VLOOKUP(B:B,'İş Dağılımı'!A:C,3,0)</f>
        <v>Kadri Işık</v>
      </c>
      <c r="E241">
        <v>1725</v>
      </c>
      <c r="F241" t="str">
        <f>IFERROR(VLOOKUP(E:E,'Malzeme Listesi'!A:B,2,0),"")</f>
        <v>Deodorant</v>
      </c>
      <c r="G241" s="1">
        <f>VLOOKUP(E:E,'Malzeme Listesi'!A:C,3,0)</f>
        <v>37</v>
      </c>
      <c r="H241">
        <v>21</v>
      </c>
      <c r="I241" s="1">
        <f t="shared" si="3"/>
        <v>777</v>
      </c>
    </row>
    <row r="242" spans="1:9" x14ac:dyDescent="0.25">
      <c r="A242" s="2" t="s">
        <v>20</v>
      </c>
      <c r="B242">
        <v>2010</v>
      </c>
      <c r="C242" t="str">
        <f>VLOOKUP(B:B,'İş Dağılımı'!A:B,2,0)</f>
        <v>Enver Toprak</v>
      </c>
      <c r="D242" t="str">
        <f>VLOOKUP(B:B,'İş Dağılımı'!A:C,3,0)</f>
        <v>Aslı Balcı</v>
      </c>
      <c r="E242">
        <v>1465</v>
      </c>
      <c r="F242" t="str">
        <f>IFERROR(VLOOKUP(E:E,'Malzeme Listesi'!A:B,2,0),"")</f>
        <v>Şampuan</v>
      </c>
      <c r="G242" s="1">
        <f>VLOOKUP(E:E,'Malzeme Listesi'!A:C,3,0)</f>
        <v>12</v>
      </c>
      <c r="H242">
        <v>9</v>
      </c>
      <c r="I242" s="1">
        <f t="shared" si="3"/>
        <v>108</v>
      </c>
    </row>
    <row r="243" spans="1:9" x14ac:dyDescent="0.25">
      <c r="A243" s="2" t="s">
        <v>20</v>
      </c>
      <c r="B243">
        <v>2010</v>
      </c>
      <c r="C243" t="str">
        <f>VLOOKUP(B:B,'İş Dağılımı'!A:B,2,0)</f>
        <v>Enver Toprak</v>
      </c>
      <c r="D243" t="str">
        <f>VLOOKUP(B:B,'İş Dağılımı'!A:C,3,0)</f>
        <v>Aslı Balcı</v>
      </c>
      <c r="E243">
        <v>1246</v>
      </c>
      <c r="F243" t="str">
        <f>IFERROR(VLOOKUP(E:E,'Malzeme Listesi'!A:B,2,0),"")</f>
        <v>Parfüm</v>
      </c>
      <c r="G243" s="1">
        <f>VLOOKUP(E:E,'Malzeme Listesi'!A:C,3,0)</f>
        <v>20</v>
      </c>
      <c r="H243">
        <v>23</v>
      </c>
      <c r="I243" s="1">
        <f t="shared" si="3"/>
        <v>460</v>
      </c>
    </row>
    <row r="244" spans="1:9" x14ac:dyDescent="0.25">
      <c r="A244" s="2" t="s">
        <v>20</v>
      </c>
      <c r="B244">
        <v>2010</v>
      </c>
      <c r="C244" t="str">
        <f>VLOOKUP(B:B,'İş Dağılımı'!A:B,2,0)</f>
        <v>Enver Toprak</v>
      </c>
      <c r="D244" t="str">
        <f>VLOOKUP(B:B,'İş Dağılımı'!A:C,3,0)</f>
        <v>Aslı Balcı</v>
      </c>
      <c r="E244">
        <v>1725</v>
      </c>
      <c r="F244" t="str">
        <f>IFERROR(VLOOKUP(E:E,'Malzeme Listesi'!A:B,2,0),"")</f>
        <v>Deodorant</v>
      </c>
      <c r="G244" s="1">
        <f>VLOOKUP(E:E,'Malzeme Listesi'!A:C,3,0)</f>
        <v>37</v>
      </c>
      <c r="H244">
        <v>25</v>
      </c>
      <c r="I244" s="1">
        <f t="shared" si="3"/>
        <v>925</v>
      </c>
    </row>
    <row r="245" spans="1:9" x14ac:dyDescent="0.25">
      <c r="A245" s="2" t="s">
        <v>20</v>
      </c>
      <c r="B245">
        <v>2011</v>
      </c>
      <c r="C245" t="str">
        <f>VLOOKUP(B:B,'İş Dağılımı'!A:B,2,0)</f>
        <v>Recep Koca</v>
      </c>
      <c r="D245" t="str">
        <f>VLOOKUP(B:B,'İş Dağılımı'!A:C,3,0)</f>
        <v>Aslı Balcı</v>
      </c>
      <c r="E245">
        <v>1465</v>
      </c>
      <c r="F245" t="str">
        <f>IFERROR(VLOOKUP(E:E,'Malzeme Listesi'!A:B,2,0),"")</f>
        <v>Şampuan</v>
      </c>
      <c r="G245" s="1">
        <f>VLOOKUP(E:E,'Malzeme Listesi'!A:C,3,0)</f>
        <v>12</v>
      </c>
      <c r="H245">
        <v>40</v>
      </c>
      <c r="I245" s="1">
        <f t="shared" si="3"/>
        <v>480</v>
      </c>
    </row>
    <row r="246" spans="1:9" x14ac:dyDescent="0.25">
      <c r="A246" s="2" t="s">
        <v>20</v>
      </c>
      <c r="B246">
        <v>2011</v>
      </c>
      <c r="C246" t="str">
        <f>VLOOKUP(B:B,'İş Dağılımı'!A:B,2,0)</f>
        <v>Recep Koca</v>
      </c>
      <c r="D246" t="str">
        <f>VLOOKUP(B:B,'İş Dağılımı'!A:C,3,0)</f>
        <v>Aslı Balcı</v>
      </c>
      <c r="E246">
        <v>1246</v>
      </c>
      <c r="F246" t="str">
        <f>IFERROR(VLOOKUP(E:E,'Malzeme Listesi'!A:B,2,0),"")</f>
        <v>Parfüm</v>
      </c>
      <c r="G246" s="1">
        <f>VLOOKUP(E:E,'Malzeme Listesi'!A:C,3,0)</f>
        <v>20</v>
      </c>
      <c r="H246">
        <v>42</v>
      </c>
      <c r="I246" s="1">
        <f t="shared" si="3"/>
        <v>840</v>
      </c>
    </row>
    <row r="247" spans="1:9" x14ac:dyDescent="0.25">
      <c r="A247" s="2" t="s">
        <v>20</v>
      </c>
      <c r="B247">
        <v>2011</v>
      </c>
      <c r="C247" t="str">
        <f>VLOOKUP(B:B,'İş Dağılımı'!A:B,2,0)</f>
        <v>Recep Koca</v>
      </c>
      <c r="D247" t="str">
        <f>VLOOKUP(B:B,'İş Dağılımı'!A:C,3,0)</f>
        <v>Aslı Balcı</v>
      </c>
      <c r="E247">
        <v>1725</v>
      </c>
      <c r="F247" t="str">
        <f>IFERROR(VLOOKUP(E:E,'Malzeme Listesi'!A:B,2,0),"")</f>
        <v>Deodorant</v>
      </c>
      <c r="G247" s="1">
        <f>VLOOKUP(E:E,'Malzeme Listesi'!A:C,3,0)</f>
        <v>37</v>
      </c>
      <c r="H247">
        <v>43</v>
      </c>
      <c r="I247" s="1">
        <f t="shared" si="3"/>
        <v>1591</v>
      </c>
    </row>
    <row r="248" spans="1:9" x14ac:dyDescent="0.25">
      <c r="A248" s="2" t="s">
        <v>20</v>
      </c>
      <c r="B248">
        <v>2012</v>
      </c>
      <c r="C248" t="str">
        <f>VLOOKUP(B:B,'İş Dağılımı'!A:B,2,0)</f>
        <v>Murat Maden</v>
      </c>
      <c r="D248" t="str">
        <f>VLOOKUP(B:B,'İş Dağılımı'!A:C,3,0)</f>
        <v>Kadri Işık</v>
      </c>
      <c r="E248">
        <v>1465</v>
      </c>
      <c r="F248" t="str">
        <f>IFERROR(VLOOKUP(E:E,'Malzeme Listesi'!A:B,2,0),"")</f>
        <v>Şampuan</v>
      </c>
      <c r="G248" s="1">
        <f>VLOOKUP(E:E,'Malzeme Listesi'!A:C,3,0)</f>
        <v>12</v>
      </c>
      <c r="H248">
        <v>20</v>
      </c>
      <c r="I248" s="1">
        <f t="shared" si="3"/>
        <v>240</v>
      </c>
    </row>
    <row r="249" spans="1:9" x14ac:dyDescent="0.25">
      <c r="A249" s="2" t="s">
        <v>20</v>
      </c>
      <c r="B249">
        <v>2012</v>
      </c>
      <c r="C249" t="str">
        <f>VLOOKUP(B:B,'İş Dağılımı'!A:B,2,0)</f>
        <v>Murat Maden</v>
      </c>
      <c r="D249" t="str">
        <f>VLOOKUP(B:B,'İş Dağılımı'!A:C,3,0)</f>
        <v>Kadri Işık</v>
      </c>
      <c r="E249">
        <v>1246</v>
      </c>
      <c r="F249" t="str">
        <f>IFERROR(VLOOKUP(E:E,'Malzeme Listesi'!A:B,2,0),"")</f>
        <v>Parfüm</v>
      </c>
      <c r="G249" s="1">
        <f>VLOOKUP(E:E,'Malzeme Listesi'!A:C,3,0)</f>
        <v>20</v>
      </c>
      <c r="H249">
        <v>20</v>
      </c>
      <c r="I249" s="1">
        <f t="shared" si="3"/>
        <v>400</v>
      </c>
    </row>
    <row r="250" spans="1:9" x14ac:dyDescent="0.25">
      <c r="A250" s="2" t="s">
        <v>20</v>
      </c>
      <c r="B250">
        <v>2012</v>
      </c>
      <c r="C250" t="str">
        <f>VLOOKUP(B:B,'İş Dağılımı'!A:B,2,0)</f>
        <v>Murat Maden</v>
      </c>
      <c r="D250" t="str">
        <f>VLOOKUP(B:B,'İş Dağılımı'!A:C,3,0)</f>
        <v>Kadri Işık</v>
      </c>
      <c r="E250">
        <v>1725</v>
      </c>
      <c r="F250" t="str">
        <f>IFERROR(VLOOKUP(E:E,'Malzeme Listesi'!A:B,2,0),"")</f>
        <v>Deodorant</v>
      </c>
      <c r="G250" s="1">
        <f>VLOOKUP(E:E,'Malzeme Listesi'!A:C,3,0)</f>
        <v>37</v>
      </c>
      <c r="H250">
        <v>20</v>
      </c>
      <c r="I250" s="1">
        <f t="shared" si="3"/>
        <v>740</v>
      </c>
    </row>
    <row r="251" spans="1:9" x14ac:dyDescent="0.25">
      <c r="A251" s="2" t="s">
        <v>20</v>
      </c>
      <c r="B251">
        <v>2013</v>
      </c>
      <c r="C251" t="str">
        <f>VLOOKUP(B:B,'İş Dağılımı'!A:B,2,0)</f>
        <v>Zeki Civan</v>
      </c>
      <c r="D251" t="str">
        <f>VLOOKUP(B:B,'İş Dağılımı'!A:C,3,0)</f>
        <v>Engin Demir</v>
      </c>
      <c r="E251">
        <v>1465</v>
      </c>
      <c r="F251" t="str">
        <f>IFERROR(VLOOKUP(E:E,'Malzeme Listesi'!A:B,2,0),"")</f>
        <v>Şampuan</v>
      </c>
      <c r="G251" s="1">
        <f>VLOOKUP(E:E,'Malzeme Listesi'!A:C,3,0)</f>
        <v>12</v>
      </c>
      <c r="H251">
        <v>20</v>
      </c>
      <c r="I251" s="1">
        <f t="shared" si="3"/>
        <v>240</v>
      </c>
    </row>
    <row r="252" spans="1:9" x14ac:dyDescent="0.25">
      <c r="A252" s="2" t="s">
        <v>20</v>
      </c>
      <c r="B252">
        <v>2013</v>
      </c>
      <c r="C252" t="str">
        <f>VLOOKUP(B:B,'İş Dağılımı'!A:B,2,0)</f>
        <v>Zeki Civan</v>
      </c>
      <c r="D252" t="str">
        <f>VLOOKUP(B:B,'İş Dağılımı'!A:C,3,0)</f>
        <v>Engin Demir</v>
      </c>
      <c r="E252">
        <v>1246</v>
      </c>
      <c r="F252" t="str">
        <f>IFERROR(VLOOKUP(E:E,'Malzeme Listesi'!A:B,2,0),"")</f>
        <v>Parfüm</v>
      </c>
      <c r="G252" s="1">
        <f>VLOOKUP(E:E,'Malzeme Listesi'!A:C,3,0)</f>
        <v>20</v>
      </c>
      <c r="H252">
        <v>12</v>
      </c>
      <c r="I252" s="1">
        <f t="shared" si="3"/>
        <v>240</v>
      </c>
    </row>
    <row r="253" spans="1:9" x14ac:dyDescent="0.25">
      <c r="A253" s="2" t="s">
        <v>20</v>
      </c>
      <c r="B253">
        <v>2013</v>
      </c>
      <c r="C253" t="str">
        <f>VLOOKUP(B:B,'İş Dağılımı'!A:B,2,0)</f>
        <v>Zeki Civan</v>
      </c>
      <c r="D253" t="str">
        <f>VLOOKUP(B:B,'İş Dağılımı'!A:C,3,0)</f>
        <v>Engin Demir</v>
      </c>
      <c r="E253">
        <v>1725</v>
      </c>
      <c r="F253" t="str">
        <f>IFERROR(VLOOKUP(E:E,'Malzeme Listesi'!A:B,2,0),"")</f>
        <v>Deodorant</v>
      </c>
      <c r="G253" s="1">
        <f>VLOOKUP(E:E,'Malzeme Listesi'!A:C,3,0)</f>
        <v>37</v>
      </c>
      <c r="H253">
        <v>43</v>
      </c>
      <c r="I253" s="1">
        <f t="shared" si="3"/>
        <v>1591</v>
      </c>
    </row>
    <row r="254" spans="1:9" x14ac:dyDescent="0.25">
      <c r="A254" s="2" t="s">
        <v>20</v>
      </c>
      <c r="B254">
        <v>2014</v>
      </c>
      <c r="C254" t="str">
        <f>VLOOKUP(B:B,'İş Dağılımı'!A:B,2,0)</f>
        <v>Gülsüm Çalışkan</v>
      </c>
      <c r="D254" t="str">
        <f>VLOOKUP(B:B,'İş Dağılımı'!A:C,3,0)</f>
        <v>Engin Demir</v>
      </c>
      <c r="E254">
        <v>1465</v>
      </c>
      <c r="F254" t="str">
        <f>IFERROR(VLOOKUP(E:E,'Malzeme Listesi'!A:B,2,0),"")</f>
        <v>Şampuan</v>
      </c>
      <c r="G254" s="1">
        <f>VLOOKUP(E:E,'Malzeme Listesi'!A:C,3,0)</f>
        <v>12</v>
      </c>
      <c r="H254">
        <v>32</v>
      </c>
      <c r="I254" s="1">
        <f t="shared" si="3"/>
        <v>384</v>
      </c>
    </row>
    <row r="255" spans="1:9" x14ac:dyDescent="0.25">
      <c r="A255" s="2" t="s">
        <v>20</v>
      </c>
      <c r="B255">
        <v>2014</v>
      </c>
      <c r="C255" t="str">
        <f>VLOOKUP(B:B,'İş Dağılımı'!A:B,2,0)</f>
        <v>Gülsüm Çalışkan</v>
      </c>
      <c r="D255" t="str">
        <f>VLOOKUP(B:B,'İş Dağılımı'!A:C,3,0)</f>
        <v>Engin Demir</v>
      </c>
      <c r="E255">
        <v>1246</v>
      </c>
      <c r="F255" t="str">
        <f>IFERROR(VLOOKUP(E:E,'Malzeme Listesi'!A:B,2,0),"")</f>
        <v>Parfüm</v>
      </c>
      <c r="G255" s="1">
        <f>VLOOKUP(E:E,'Malzeme Listesi'!A:C,3,0)</f>
        <v>20</v>
      </c>
      <c r="H255">
        <v>26</v>
      </c>
      <c r="I255" s="1">
        <f t="shared" si="3"/>
        <v>520</v>
      </c>
    </row>
    <row r="256" spans="1:9" x14ac:dyDescent="0.25">
      <c r="A256" s="2" t="s">
        <v>20</v>
      </c>
      <c r="B256">
        <v>2014</v>
      </c>
      <c r="C256" t="str">
        <f>VLOOKUP(B:B,'İş Dağılımı'!A:B,2,0)</f>
        <v>Gülsüm Çalışkan</v>
      </c>
      <c r="D256" t="str">
        <f>VLOOKUP(B:B,'İş Dağılımı'!A:C,3,0)</f>
        <v>Engin Demir</v>
      </c>
      <c r="E256">
        <v>1725</v>
      </c>
      <c r="F256" t="str">
        <f>IFERROR(VLOOKUP(E:E,'Malzeme Listesi'!A:B,2,0),"")</f>
        <v>Deodorant</v>
      </c>
      <c r="G256" s="1">
        <f>VLOOKUP(E:E,'Malzeme Listesi'!A:C,3,0)</f>
        <v>37</v>
      </c>
      <c r="H256">
        <v>11</v>
      </c>
      <c r="I256" s="1">
        <f t="shared" si="3"/>
        <v>407</v>
      </c>
    </row>
    <row r="257" spans="1:9" x14ac:dyDescent="0.25">
      <c r="A257" s="2" t="s">
        <v>21</v>
      </c>
      <c r="B257">
        <v>1998</v>
      </c>
      <c r="C257" t="str">
        <f>VLOOKUP(B:B,'İş Dağılımı'!A:B,2,0)</f>
        <v>Ayşe Zengin</v>
      </c>
      <c r="D257" t="str">
        <f>VLOOKUP(B:B,'İş Dağılımı'!A:C,3,0)</f>
        <v>Kadri Işık</v>
      </c>
      <c r="E257">
        <v>1465</v>
      </c>
      <c r="F257" t="str">
        <f>IFERROR(VLOOKUP(E:E,'Malzeme Listesi'!A:B,2,0),"")</f>
        <v>Şampuan</v>
      </c>
      <c r="G257" s="1">
        <f>VLOOKUP(E:E,'Malzeme Listesi'!A:C,3,0)</f>
        <v>12</v>
      </c>
      <c r="H257">
        <v>49</v>
      </c>
      <c r="I257" s="1">
        <f t="shared" si="3"/>
        <v>588</v>
      </c>
    </row>
    <row r="258" spans="1:9" x14ac:dyDescent="0.25">
      <c r="A258" s="2" t="s">
        <v>21</v>
      </c>
      <c r="B258">
        <v>1998</v>
      </c>
      <c r="C258" t="str">
        <f>VLOOKUP(B:B,'İş Dağılımı'!A:B,2,0)</f>
        <v>Ayşe Zengin</v>
      </c>
      <c r="D258" t="str">
        <f>VLOOKUP(B:B,'İş Dağılımı'!A:C,3,0)</f>
        <v>Kadri Işık</v>
      </c>
      <c r="E258">
        <v>1246</v>
      </c>
      <c r="F258" t="str">
        <f>IFERROR(VLOOKUP(E:E,'Malzeme Listesi'!A:B,2,0),"")</f>
        <v>Parfüm</v>
      </c>
      <c r="G258" s="1">
        <f>VLOOKUP(E:E,'Malzeme Listesi'!A:C,3,0)</f>
        <v>20</v>
      </c>
      <c r="H258">
        <v>32</v>
      </c>
      <c r="I258" s="1">
        <f t="shared" ref="I258:I307" si="4">H258*G258</f>
        <v>640</v>
      </c>
    </row>
    <row r="259" spans="1:9" x14ac:dyDescent="0.25">
      <c r="A259" s="2" t="s">
        <v>21</v>
      </c>
      <c r="B259">
        <v>1998</v>
      </c>
      <c r="C259" t="str">
        <f>VLOOKUP(B:B,'İş Dağılımı'!A:B,2,0)</f>
        <v>Ayşe Zengin</v>
      </c>
      <c r="D259" t="str">
        <f>VLOOKUP(B:B,'İş Dağılımı'!A:C,3,0)</f>
        <v>Kadri Işık</v>
      </c>
      <c r="E259">
        <v>1725</v>
      </c>
      <c r="F259" t="str">
        <f>IFERROR(VLOOKUP(E:E,'Malzeme Listesi'!A:B,2,0),"")</f>
        <v>Deodorant</v>
      </c>
      <c r="G259" s="1">
        <f>VLOOKUP(E:E,'Malzeme Listesi'!A:C,3,0)</f>
        <v>37</v>
      </c>
      <c r="H259">
        <v>27</v>
      </c>
      <c r="I259" s="1">
        <f t="shared" si="4"/>
        <v>999</v>
      </c>
    </row>
    <row r="260" spans="1:9" x14ac:dyDescent="0.25">
      <c r="A260" s="2" t="s">
        <v>21</v>
      </c>
      <c r="B260">
        <v>1999</v>
      </c>
      <c r="C260" t="str">
        <f>VLOOKUP(B:B,'İş Dağılımı'!A:B,2,0)</f>
        <v>Gamze Öztürk</v>
      </c>
      <c r="D260" t="str">
        <f>VLOOKUP(B:B,'İş Dağılımı'!A:C,3,0)</f>
        <v>Engin Demir</v>
      </c>
      <c r="E260">
        <v>1465</v>
      </c>
      <c r="F260" t="str">
        <f>IFERROR(VLOOKUP(E:E,'Malzeme Listesi'!A:B,2,0),"")</f>
        <v>Şampuan</v>
      </c>
      <c r="G260" s="1">
        <f>VLOOKUP(E:E,'Malzeme Listesi'!A:C,3,0)</f>
        <v>12</v>
      </c>
      <c r="H260">
        <v>29</v>
      </c>
      <c r="I260" s="1">
        <f t="shared" si="4"/>
        <v>348</v>
      </c>
    </row>
    <row r="261" spans="1:9" x14ac:dyDescent="0.25">
      <c r="A261" s="2" t="s">
        <v>21</v>
      </c>
      <c r="B261">
        <v>1999</v>
      </c>
      <c r="C261" t="str">
        <f>VLOOKUP(B:B,'İş Dağılımı'!A:B,2,0)</f>
        <v>Gamze Öztürk</v>
      </c>
      <c r="D261" t="str">
        <f>VLOOKUP(B:B,'İş Dağılımı'!A:C,3,0)</f>
        <v>Engin Demir</v>
      </c>
      <c r="E261">
        <v>1246</v>
      </c>
      <c r="F261" t="str">
        <f>IFERROR(VLOOKUP(E:E,'Malzeme Listesi'!A:B,2,0),"")</f>
        <v>Parfüm</v>
      </c>
      <c r="G261" s="1">
        <f>VLOOKUP(E:E,'Malzeme Listesi'!A:C,3,0)</f>
        <v>20</v>
      </c>
      <c r="H261">
        <v>19</v>
      </c>
      <c r="I261" s="1">
        <f t="shared" si="4"/>
        <v>380</v>
      </c>
    </row>
    <row r="262" spans="1:9" x14ac:dyDescent="0.25">
      <c r="A262" s="2" t="s">
        <v>21</v>
      </c>
      <c r="B262">
        <v>1999</v>
      </c>
      <c r="C262" t="str">
        <f>VLOOKUP(B:B,'İş Dağılımı'!A:B,2,0)</f>
        <v>Gamze Öztürk</v>
      </c>
      <c r="D262" t="str">
        <f>VLOOKUP(B:B,'İş Dağılımı'!A:C,3,0)</f>
        <v>Engin Demir</v>
      </c>
      <c r="E262">
        <v>1725</v>
      </c>
      <c r="F262" t="str">
        <f>IFERROR(VLOOKUP(E:E,'Malzeme Listesi'!A:B,2,0),"")</f>
        <v>Deodorant</v>
      </c>
      <c r="G262" s="1">
        <f>VLOOKUP(E:E,'Malzeme Listesi'!A:C,3,0)</f>
        <v>37</v>
      </c>
      <c r="H262">
        <v>39</v>
      </c>
      <c r="I262" s="1">
        <f t="shared" si="4"/>
        <v>1443</v>
      </c>
    </row>
    <row r="263" spans="1:9" x14ac:dyDescent="0.25">
      <c r="A263" s="2" t="s">
        <v>21</v>
      </c>
      <c r="B263">
        <v>2000</v>
      </c>
      <c r="C263" t="str">
        <f>VLOOKUP(B:B,'İş Dağılımı'!A:B,2,0)</f>
        <v>Melike Kara</v>
      </c>
      <c r="D263" t="str">
        <f>VLOOKUP(B:B,'İş Dağılımı'!A:C,3,0)</f>
        <v>Aslı Balcı</v>
      </c>
      <c r="E263">
        <v>1465</v>
      </c>
      <c r="F263" t="str">
        <f>IFERROR(VLOOKUP(E:E,'Malzeme Listesi'!A:B,2,0),"")</f>
        <v>Şampuan</v>
      </c>
      <c r="G263" s="1">
        <f>VLOOKUP(E:E,'Malzeme Listesi'!A:C,3,0)</f>
        <v>12</v>
      </c>
      <c r="H263">
        <v>9</v>
      </c>
      <c r="I263" s="1">
        <f t="shared" si="4"/>
        <v>108</v>
      </c>
    </row>
    <row r="264" spans="1:9" x14ac:dyDescent="0.25">
      <c r="A264" s="2" t="s">
        <v>21</v>
      </c>
      <c r="B264">
        <v>2000</v>
      </c>
      <c r="C264" t="str">
        <f>VLOOKUP(B:B,'İş Dağılımı'!A:B,2,0)</f>
        <v>Melike Kara</v>
      </c>
      <c r="D264" t="str">
        <f>VLOOKUP(B:B,'İş Dağılımı'!A:C,3,0)</f>
        <v>Aslı Balcı</v>
      </c>
      <c r="E264">
        <v>1246</v>
      </c>
      <c r="F264" t="str">
        <f>IFERROR(VLOOKUP(E:E,'Malzeme Listesi'!A:B,2,0),"")</f>
        <v>Parfüm</v>
      </c>
      <c r="G264" s="1">
        <f>VLOOKUP(E:E,'Malzeme Listesi'!A:C,3,0)</f>
        <v>20</v>
      </c>
      <c r="H264">
        <v>34</v>
      </c>
      <c r="I264" s="1">
        <f t="shared" si="4"/>
        <v>680</v>
      </c>
    </row>
    <row r="265" spans="1:9" x14ac:dyDescent="0.25">
      <c r="A265" s="2" t="s">
        <v>21</v>
      </c>
      <c r="B265">
        <v>2000</v>
      </c>
      <c r="C265" t="str">
        <f>VLOOKUP(B:B,'İş Dağılımı'!A:B,2,0)</f>
        <v>Melike Kara</v>
      </c>
      <c r="D265" t="str">
        <f>VLOOKUP(B:B,'İş Dağılımı'!A:C,3,0)</f>
        <v>Aslı Balcı</v>
      </c>
      <c r="E265">
        <v>1725</v>
      </c>
      <c r="F265" t="str">
        <f>IFERROR(VLOOKUP(E:E,'Malzeme Listesi'!A:B,2,0),"")</f>
        <v>Deodorant</v>
      </c>
      <c r="G265" s="1">
        <f>VLOOKUP(E:E,'Malzeme Listesi'!A:C,3,0)</f>
        <v>37</v>
      </c>
      <c r="H265">
        <v>43</v>
      </c>
      <c r="I265" s="1">
        <f t="shared" si="4"/>
        <v>1591</v>
      </c>
    </row>
    <row r="266" spans="1:9" x14ac:dyDescent="0.25">
      <c r="A266" s="2" t="s">
        <v>21</v>
      </c>
      <c r="B266">
        <v>2001</v>
      </c>
      <c r="C266" t="str">
        <f>VLOOKUP(B:B,'İş Dağılımı'!A:B,2,0)</f>
        <v>Emine Şimşek</v>
      </c>
      <c r="D266" t="str">
        <f>VLOOKUP(B:B,'İş Dağılımı'!A:C,3,0)</f>
        <v>Aslı Balcı</v>
      </c>
      <c r="E266">
        <v>1465</v>
      </c>
      <c r="F266" t="str">
        <f>IFERROR(VLOOKUP(E:E,'Malzeme Listesi'!A:B,2,0),"")</f>
        <v>Şampuan</v>
      </c>
      <c r="G266" s="1">
        <f>VLOOKUP(E:E,'Malzeme Listesi'!A:C,3,0)</f>
        <v>12</v>
      </c>
      <c r="H266">
        <v>19</v>
      </c>
      <c r="I266" s="1">
        <f t="shared" si="4"/>
        <v>228</v>
      </c>
    </row>
    <row r="267" spans="1:9" x14ac:dyDescent="0.25">
      <c r="A267" s="2" t="s">
        <v>21</v>
      </c>
      <c r="B267">
        <v>2001</v>
      </c>
      <c r="C267" t="str">
        <f>VLOOKUP(B:B,'İş Dağılımı'!A:B,2,0)</f>
        <v>Emine Şimşek</v>
      </c>
      <c r="D267" t="str">
        <f>VLOOKUP(B:B,'İş Dağılımı'!A:C,3,0)</f>
        <v>Aslı Balcı</v>
      </c>
      <c r="E267">
        <v>1246</v>
      </c>
      <c r="F267" t="str">
        <f>IFERROR(VLOOKUP(E:E,'Malzeme Listesi'!A:B,2,0),"")</f>
        <v>Parfüm</v>
      </c>
      <c r="G267" s="1">
        <f>VLOOKUP(E:E,'Malzeme Listesi'!A:C,3,0)</f>
        <v>20</v>
      </c>
      <c r="H267">
        <v>22</v>
      </c>
      <c r="I267" s="1">
        <f t="shared" si="4"/>
        <v>440</v>
      </c>
    </row>
    <row r="268" spans="1:9" x14ac:dyDescent="0.25">
      <c r="A268" s="2" t="s">
        <v>21</v>
      </c>
      <c r="B268">
        <v>2001</v>
      </c>
      <c r="C268" t="str">
        <f>VLOOKUP(B:B,'İş Dağılımı'!A:B,2,0)</f>
        <v>Emine Şimşek</v>
      </c>
      <c r="D268" t="str">
        <f>VLOOKUP(B:B,'İş Dağılımı'!A:C,3,0)</f>
        <v>Aslı Balcı</v>
      </c>
      <c r="E268">
        <v>1725</v>
      </c>
      <c r="F268" t="str">
        <f>IFERROR(VLOOKUP(E:E,'Malzeme Listesi'!A:B,2,0),"")</f>
        <v>Deodorant</v>
      </c>
      <c r="G268" s="1">
        <f>VLOOKUP(E:E,'Malzeme Listesi'!A:C,3,0)</f>
        <v>37</v>
      </c>
      <c r="H268">
        <v>36</v>
      </c>
      <c r="I268" s="1">
        <f t="shared" si="4"/>
        <v>1332</v>
      </c>
    </row>
    <row r="269" spans="1:9" x14ac:dyDescent="0.25">
      <c r="A269" s="2" t="s">
        <v>21</v>
      </c>
      <c r="B269">
        <v>2002</v>
      </c>
      <c r="C269" t="str">
        <f>VLOOKUP(B:B,'İş Dağılımı'!A:B,2,0)</f>
        <v>Adem Yıldız</v>
      </c>
      <c r="D269" t="str">
        <f>VLOOKUP(B:B,'İş Dağılımı'!A:C,3,0)</f>
        <v>Engin Demir</v>
      </c>
      <c r="E269">
        <v>1465</v>
      </c>
      <c r="F269" t="str">
        <f>IFERROR(VLOOKUP(E:E,'Malzeme Listesi'!A:B,2,0),"")</f>
        <v>Şampuan</v>
      </c>
      <c r="G269" s="1">
        <f>VLOOKUP(E:E,'Malzeme Listesi'!A:C,3,0)</f>
        <v>12</v>
      </c>
      <c r="H269">
        <v>6</v>
      </c>
      <c r="I269" s="1">
        <f t="shared" si="4"/>
        <v>72</v>
      </c>
    </row>
    <row r="270" spans="1:9" x14ac:dyDescent="0.25">
      <c r="A270" s="2" t="s">
        <v>21</v>
      </c>
      <c r="B270">
        <v>2002</v>
      </c>
      <c r="C270" t="str">
        <f>VLOOKUP(B:B,'İş Dağılımı'!A:B,2,0)</f>
        <v>Adem Yıldız</v>
      </c>
      <c r="D270" t="str">
        <f>VLOOKUP(B:B,'İş Dağılımı'!A:C,3,0)</f>
        <v>Engin Demir</v>
      </c>
      <c r="E270">
        <v>1246</v>
      </c>
      <c r="F270" t="str">
        <f>IFERROR(VLOOKUP(E:E,'Malzeme Listesi'!A:B,2,0),"")</f>
        <v>Parfüm</v>
      </c>
      <c r="G270" s="1">
        <f>VLOOKUP(E:E,'Malzeme Listesi'!A:C,3,0)</f>
        <v>20</v>
      </c>
      <c r="H270">
        <v>15</v>
      </c>
      <c r="I270" s="1">
        <f t="shared" si="4"/>
        <v>300</v>
      </c>
    </row>
    <row r="271" spans="1:9" x14ac:dyDescent="0.25">
      <c r="A271" s="2" t="s">
        <v>21</v>
      </c>
      <c r="B271">
        <v>2002</v>
      </c>
      <c r="C271" t="str">
        <f>VLOOKUP(B:B,'İş Dağılımı'!A:B,2,0)</f>
        <v>Adem Yıldız</v>
      </c>
      <c r="D271" t="str">
        <f>VLOOKUP(B:B,'İş Dağılımı'!A:C,3,0)</f>
        <v>Engin Demir</v>
      </c>
      <c r="E271">
        <v>1725</v>
      </c>
      <c r="F271" t="str">
        <f>IFERROR(VLOOKUP(E:E,'Malzeme Listesi'!A:B,2,0),"")</f>
        <v>Deodorant</v>
      </c>
      <c r="G271" s="1">
        <f>VLOOKUP(E:E,'Malzeme Listesi'!A:C,3,0)</f>
        <v>37</v>
      </c>
      <c r="H271">
        <v>19</v>
      </c>
      <c r="I271" s="1">
        <f t="shared" si="4"/>
        <v>703</v>
      </c>
    </row>
    <row r="272" spans="1:9" x14ac:dyDescent="0.25">
      <c r="A272" s="2" t="s">
        <v>21</v>
      </c>
      <c r="B272">
        <v>2003</v>
      </c>
      <c r="C272" t="str">
        <f>VLOOKUP(B:B,'İş Dağılımı'!A:B,2,0)</f>
        <v>İbrahim Vural</v>
      </c>
      <c r="D272" t="str">
        <f>VLOOKUP(B:B,'İş Dağılımı'!A:C,3,0)</f>
        <v>Engin Demir</v>
      </c>
      <c r="E272">
        <v>1465</v>
      </c>
      <c r="F272" t="str">
        <f>IFERROR(VLOOKUP(E:E,'Malzeme Listesi'!A:B,2,0),"")</f>
        <v>Şampuan</v>
      </c>
      <c r="G272" s="1">
        <f>VLOOKUP(E:E,'Malzeme Listesi'!A:C,3,0)</f>
        <v>12</v>
      </c>
      <c r="H272">
        <v>85</v>
      </c>
      <c r="I272" s="1">
        <f t="shared" si="4"/>
        <v>1020</v>
      </c>
    </row>
    <row r="273" spans="1:9" x14ac:dyDescent="0.25">
      <c r="A273" s="2" t="s">
        <v>21</v>
      </c>
      <c r="B273">
        <v>2003</v>
      </c>
      <c r="C273" t="str">
        <f>VLOOKUP(B:B,'İş Dağılımı'!A:B,2,0)</f>
        <v>İbrahim Vural</v>
      </c>
      <c r="D273" t="str">
        <f>VLOOKUP(B:B,'İş Dağılımı'!A:C,3,0)</f>
        <v>Engin Demir</v>
      </c>
      <c r="E273">
        <v>1246</v>
      </c>
      <c r="F273" t="str">
        <f>IFERROR(VLOOKUP(E:E,'Malzeme Listesi'!A:B,2,0),"")</f>
        <v>Parfüm</v>
      </c>
      <c r="G273" s="1">
        <f>VLOOKUP(E:E,'Malzeme Listesi'!A:C,3,0)</f>
        <v>20</v>
      </c>
      <c r="H273">
        <v>10</v>
      </c>
      <c r="I273" s="1">
        <f t="shared" si="4"/>
        <v>200</v>
      </c>
    </row>
    <row r="274" spans="1:9" x14ac:dyDescent="0.25">
      <c r="A274" s="2" t="s">
        <v>21</v>
      </c>
      <c r="B274">
        <v>2003</v>
      </c>
      <c r="C274" t="str">
        <f>VLOOKUP(B:B,'İş Dağılımı'!A:B,2,0)</f>
        <v>İbrahim Vural</v>
      </c>
      <c r="D274" t="str">
        <f>VLOOKUP(B:B,'İş Dağılımı'!A:C,3,0)</f>
        <v>Engin Demir</v>
      </c>
      <c r="E274">
        <v>1725</v>
      </c>
      <c r="F274" t="str">
        <f>IFERROR(VLOOKUP(E:E,'Malzeme Listesi'!A:B,2,0),"")</f>
        <v>Deodorant</v>
      </c>
      <c r="G274" s="1">
        <f>VLOOKUP(E:E,'Malzeme Listesi'!A:C,3,0)</f>
        <v>37</v>
      </c>
      <c r="H274">
        <v>2</v>
      </c>
      <c r="I274" s="1">
        <f t="shared" si="4"/>
        <v>74</v>
      </c>
    </row>
    <row r="275" spans="1:9" x14ac:dyDescent="0.25">
      <c r="A275" s="2" t="s">
        <v>21</v>
      </c>
      <c r="B275">
        <v>2004</v>
      </c>
      <c r="C275" t="str">
        <f>VLOOKUP(B:B,'İş Dağılımı'!A:B,2,0)</f>
        <v>Mehmet Sodacı</v>
      </c>
      <c r="D275" t="str">
        <f>VLOOKUP(B:B,'İş Dağılımı'!A:C,3,0)</f>
        <v>Engin Demir</v>
      </c>
      <c r="E275">
        <v>1465</v>
      </c>
      <c r="F275" t="str">
        <f>IFERROR(VLOOKUP(E:E,'Malzeme Listesi'!A:B,2,0),"")</f>
        <v>Şampuan</v>
      </c>
      <c r="G275" s="1">
        <f>VLOOKUP(E:E,'Malzeme Listesi'!A:C,3,0)</f>
        <v>12</v>
      </c>
      <c r="H275">
        <v>13</v>
      </c>
      <c r="I275" s="1">
        <f t="shared" si="4"/>
        <v>156</v>
      </c>
    </row>
    <row r="276" spans="1:9" x14ac:dyDescent="0.25">
      <c r="A276" s="2" t="s">
        <v>21</v>
      </c>
      <c r="B276">
        <v>2004</v>
      </c>
      <c r="C276" t="str">
        <f>VLOOKUP(B:B,'İş Dağılımı'!A:B,2,0)</f>
        <v>Mehmet Sodacı</v>
      </c>
      <c r="D276" t="str">
        <f>VLOOKUP(B:B,'İş Dağılımı'!A:C,3,0)</f>
        <v>Engin Demir</v>
      </c>
      <c r="E276">
        <v>1246</v>
      </c>
      <c r="F276" t="str">
        <f>IFERROR(VLOOKUP(E:E,'Malzeme Listesi'!A:B,2,0),"")</f>
        <v>Parfüm</v>
      </c>
      <c r="G276" s="1">
        <f>VLOOKUP(E:E,'Malzeme Listesi'!A:C,3,0)</f>
        <v>20</v>
      </c>
      <c r="H276">
        <v>4</v>
      </c>
      <c r="I276" s="1">
        <f t="shared" si="4"/>
        <v>80</v>
      </c>
    </row>
    <row r="277" spans="1:9" x14ac:dyDescent="0.25">
      <c r="A277" s="2" t="s">
        <v>21</v>
      </c>
      <c r="B277">
        <v>2004</v>
      </c>
      <c r="C277" t="str">
        <f>VLOOKUP(B:B,'İş Dağılımı'!A:B,2,0)</f>
        <v>Mehmet Sodacı</v>
      </c>
      <c r="D277" t="str">
        <f>VLOOKUP(B:B,'İş Dağılımı'!A:C,3,0)</f>
        <v>Engin Demir</v>
      </c>
      <c r="E277">
        <v>1725</v>
      </c>
      <c r="F277" t="str">
        <f>IFERROR(VLOOKUP(E:E,'Malzeme Listesi'!A:B,2,0),"")</f>
        <v>Deodorant</v>
      </c>
      <c r="G277" s="1">
        <f>VLOOKUP(E:E,'Malzeme Listesi'!A:C,3,0)</f>
        <v>37</v>
      </c>
      <c r="H277">
        <v>20</v>
      </c>
      <c r="I277" s="1">
        <f t="shared" si="4"/>
        <v>740</v>
      </c>
    </row>
    <row r="278" spans="1:9" x14ac:dyDescent="0.25">
      <c r="A278" s="2" t="s">
        <v>21</v>
      </c>
      <c r="B278">
        <v>2005</v>
      </c>
      <c r="C278" t="str">
        <f>VLOOKUP(B:B,'İş Dağılımı'!A:B,2,0)</f>
        <v>Mete Özak</v>
      </c>
      <c r="D278" t="str">
        <f>VLOOKUP(B:B,'İş Dağılımı'!A:C,3,0)</f>
        <v>Kadri Işık</v>
      </c>
      <c r="E278">
        <v>1465</v>
      </c>
      <c r="F278" t="str">
        <f>IFERROR(VLOOKUP(E:E,'Malzeme Listesi'!A:B,2,0),"")</f>
        <v>Şampuan</v>
      </c>
      <c r="G278" s="1">
        <f>VLOOKUP(E:E,'Malzeme Listesi'!A:C,3,0)</f>
        <v>12</v>
      </c>
      <c r="H278">
        <v>29</v>
      </c>
      <c r="I278" s="1">
        <f t="shared" si="4"/>
        <v>348</v>
      </c>
    </row>
    <row r="279" spans="1:9" x14ac:dyDescent="0.25">
      <c r="A279" s="2" t="s">
        <v>21</v>
      </c>
      <c r="B279">
        <v>2005</v>
      </c>
      <c r="C279" t="str">
        <f>VLOOKUP(B:B,'İş Dağılımı'!A:B,2,0)</f>
        <v>Mete Özak</v>
      </c>
      <c r="D279" t="str">
        <f>VLOOKUP(B:B,'İş Dağılımı'!A:C,3,0)</f>
        <v>Kadri Işık</v>
      </c>
      <c r="E279">
        <v>1246</v>
      </c>
      <c r="F279" t="str">
        <f>IFERROR(VLOOKUP(E:E,'Malzeme Listesi'!A:B,2,0),"")</f>
        <v>Parfüm</v>
      </c>
      <c r="G279" s="1">
        <f>VLOOKUP(E:E,'Malzeme Listesi'!A:C,3,0)</f>
        <v>20</v>
      </c>
      <c r="H279">
        <v>40</v>
      </c>
      <c r="I279" s="1">
        <f t="shared" si="4"/>
        <v>800</v>
      </c>
    </row>
    <row r="280" spans="1:9" x14ac:dyDescent="0.25">
      <c r="A280" s="2" t="s">
        <v>21</v>
      </c>
      <c r="B280">
        <v>2005</v>
      </c>
      <c r="C280" t="str">
        <f>VLOOKUP(B:B,'İş Dağılımı'!A:B,2,0)</f>
        <v>Mete Özak</v>
      </c>
      <c r="D280" t="str">
        <f>VLOOKUP(B:B,'İş Dağılımı'!A:C,3,0)</f>
        <v>Kadri Işık</v>
      </c>
      <c r="E280">
        <v>1725</v>
      </c>
      <c r="F280" t="str">
        <f>IFERROR(VLOOKUP(E:E,'Malzeme Listesi'!A:B,2,0),"")</f>
        <v>Deodorant</v>
      </c>
      <c r="G280" s="1">
        <f>VLOOKUP(E:E,'Malzeme Listesi'!A:C,3,0)</f>
        <v>37</v>
      </c>
      <c r="H280">
        <v>5</v>
      </c>
      <c r="I280" s="1">
        <f t="shared" si="4"/>
        <v>185</v>
      </c>
    </row>
    <row r="281" spans="1:9" x14ac:dyDescent="0.25">
      <c r="A281" s="2" t="s">
        <v>21</v>
      </c>
      <c r="B281">
        <v>2006</v>
      </c>
      <c r="C281" t="str">
        <f>VLOOKUP(B:B,'İş Dağılımı'!A:B,2,0)</f>
        <v>Fatih Güldüren</v>
      </c>
      <c r="D281" t="str">
        <f>VLOOKUP(B:B,'İş Dağılımı'!A:C,3,0)</f>
        <v>Aslı Balcı</v>
      </c>
      <c r="E281">
        <v>1465</v>
      </c>
      <c r="F281" t="str">
        <f>IFERROR(VLOOKUP(E:E,'Malzeme Listesi'!A:B,2,0),"")</f>
        <v>Şampuan</v>
      </c>
      <c r="G281" s="1">
        <f>VLOOKUP(E:E,'Malzeme Listesi'!A:C,3,0)</f>
        <v>12</v>
      </c>
      <c r="H281">
        <v>46</v>
      </c>
      <c r="I281" s="1">
        <f t="shared" si="4"/>
        <v>552</v>
      </c>
    </row>
    <row r="282" spans="1:9" x14ac:dyDescent="0.25">
      <c r="A282" s="2" t="s">
        <v>21</v>
      </c>
      <c r="B282">
        <v>2006</v>
      </c>
      <c r="C282" t="str">
        <f>VLOOKUP(B:B,'İş Dağılımı'!A:B,2,0)</f>
        <v>Fatih Güldüren</v>
      </c>
      <c r="D282" t="str">
        <f>VLOOKUP(B:B,'İş Dağılımı'!A:C,3,0)</f>
        <v>Aslı Balcı</v>
      </c>
      <c r="E282">
        <v>1246</v>
      </c>
      <c r="F282" t="str">
        <f>IFERROR(VLOOKUP(E:E,'Malzeme Listesi'!A:B,2,0),"")</f>
        <v>Parfüm</v>
      </c>
      <c r="G282" s="1">
        <f>VLOOKUP(E:E,'Malzeme Listesi'!A:C,3,0)</f>
        <v>20</v>
      </c>
      <c r="H282">
        <v>25</v>
      </c>
      <c r="I282" s="1">
        <f t="shared" si="4"/>
        <v>500</v>
      </c>
    </row>
    <row r="283" spans="1:9" x14ac:dyDescent="0.25">
      <c r="A283" s="2" t="s">
        <v>21</v>
      </c>
      <c r="B283">
        <v>2006</v>
      </c>
      <c r="C283" t="str">
        <f>VLOOKUP(B:B,'İş Dağılımı'!A:B,2,0)</f>
        <v>Fatih Güldüren</v>
      </c>
      <c r="D283" t="str">
        <f>VLOOKUP(B:B,'İş Dağılımı'!A:C,3,0)</f>
        <v>Aslı Balcı</v>
      </c>
      <c r="E283">
        <v>1725</v>
      </c>
      <c r="F283" t="str">
        <f>IFERROR(VLOOKUP(E:E,'Malzeme Listesi'!A:B,2,0),"")</f>
        <v>Deodorant</v>
      </c>
      <c r="G283" s="1">
        <f>VLOOKUP(E:E,'Malzeme Listesi'!A:C,3,0)</f>
        <v>37</v>
      </c>
      <c r="H283">
        <v>9</v>
      </c>
      <c r="I283" s="1">
        <f t="shared" si="4"/>
        <v>333</v>
      </c>
    </row>
    <row r="284" spans="1:9" x14ac:dyDescent="0.25">
      <c r="A284" s="2" t="s">
        <v>21</v>
      </c>
      <c r="B284">
        <v>2007</v>
      </c>
      <c r="C284" t="str">
        <f>VLOOKUP(B:B,'İş Dağılımı'!A:B,2,0)</f>
        <v>Zeynep Yetişen</v>
      </c>
      <c r="D284" t="str">
        <f>VLOOKUP(B:B,'İş Dağılımı'!A:C,3,0)</f>
        <v>Engin Demir</v>
      </c>
      <c r="E284">
        <v>1465</v>
      </c>
      <c r="F284" t="str">
        <f>IFERROR(VLOOKUP(E:E,'Malzeme Listesi'!A:B,2,0),"")</f>
        <v>Şampuan</v>
      </c>
      <c r="G284" s="1">
        <f>VLOOKUP(E:E,'Malzeme Listesi'!A:C,3,0)</f>
        <v>12</v>
      </c>
      <c r="H284">
        <v>3</v>
      </c>
      <c r="I284" s="1">
        <f t="shared" si="4"/>
        <v>36</v>
      </c>
    </row>
    <row r="285" spans="1:9" x14ac:dyDescent="0.25">
      <c r="A285" s="2" t="s">
        <v>21</v>
      </c>
      <c r="B285">
        <v>2007</v>
      </c>
      <c r="C285" t="str">
        <f>VLOOKUP(B:B,'İş Dağılımı'!A:B,2,0)</f>
        <v>Zeynep Yetişen</v>
      </c>
      <c r="D285" t="str">
        <f>VLOOKUP(B:B,'İş Dağılımı'!A:C,3,0)</f>
        <v>Engin Demir</v>
      </c>
      <c r="E285">
        <v>1246</v>
      </c>
      <c r="F285" t="str">
        <f>IFERROR(VLOOKUP(E:E,'Malzeme Listesi'!A:B,2,0),"")</f>
        <v>Parfüm</v>
      </c>
      <c r="G285" s="1">
        <f>VLOOKUP(E:E,'Malzeme Listesi'!A:C,3,0)</f>
        <v>20</v>
      </c>
      <c r="H285">
        <v>5</v>
      </c>
      <c r="I285" s="1">
        <f t="shared" si="4"/>
        <v>100</v>
      </c>
    </row>
    <row r="286" spans="1:9" x14ac:dyDescent="0.25">
      <c r="A286" s="2" t="s">
        <v>21</v>
      </c>
      <c r="B286">
        <v>2007</v>
      </c>
      <c r="C286" t="str">
        <f>VLOOKUP(B:B,'İş Dağılımı'!A:B,2,0)</f>
        <v>Zeynep Yetişen</v>
      </c>
      <c r="D286" t="str">
        <f>VLOOKUP(B:B,'İş Dağılımı'!A:C,3,0)</f>
        <v>Engin Demir</v>
      </c>
      <c r="E286">
        <v>1725</v>
      </c>
      <c r="F286" t="str">
        <f>IFERROR(VLOOKUP(E:E,'Malzeme Listesi'!A:B,2,0),"")</f>
        <v>Deodorant</v>
      </c>
      <c r="G286" s="1">
        <f>VLOOKUP(E:E,'Malzeme Listesi'!A:C,3,0)</f>
        <v>37</v>
      </c>
      <c r="H286">
        <v>7</v>
      </c>
      <c r="I286" s="1">
        <f t="shared" si="4"/>
        <v>259</v>
      </c>
    </row>
    <row r="287" spans="1:9" x14ac:dyDescent="0.25">
      <c r="A287" s="2" t="s">
        <v>21</v>
      </c>
      <c r="B287">
        <v>2008</v>
      </c>
      <c r="C287" t="str">
        <f>VLOOKUP(B:B,'İş Dağılımı'!A:B,2,0)</f>
        <v>Ediz Ekin</v>
      </c>
      <c r="D287" t="str">
        <f>VLOOKUP(B:B,'İş Dağılımı'!A:C,3,0)</f>
        <v>Kadri Işık</v>
      </c>
      <c r="E287">
        <v>1465</v>
      </c>
      <c r="F287" t="str">
        <f>IFERROR(VLOOKUP(E:E,'Malzeme Listesi'!A:B,2,0),"")</f>
        <v>Şampuan</v>
      </c>
      <c r="G287" s="1">
        <f>VLOOKUP(E:E,'Malzeme Listesi'!A:C,3,0)</f>
        <v>12</v>
      </c>
      <c r="H287">
        <v>49</v>
      </c>
      <c r="I287" s="1">
        <f t="shared" si="4"/>
        <v>588</v>
      </c>
    </row>
    <row r="288" spans="1:9" x14ac:dyDescent="0.25">
      <c r="A288" s="2" t="s">
        <v>21</v>
      </c>
      <c r="B288">
        <v>2008</v>
      </c>
      <c r="C288" t="str">
        <f>VLOOKUP(B:B,'İş Dağılımı'!A:B,2,0)</f>
        <v>Ediz Ekin</v>
      </c>
      <c r="D288" t="str">
        <f>VLOOKUP(B:B,'İş Dağılımı'!A:C,3,0)</f>
        <v>Kadri Işık</v>
      </c>
      <c r="E288">
        <v>1246</v>
      </c>
      <c r="F288" t="str">
        <f>IFERROR(VLOOKUP(E:E,'Malzeme Listesi'!A:B,2,0),"")</f>
        <v>Parfüm</v>
      </c>
      <c r="G288" s="1">
        <f>VLOOKUP(E:E,'Malzeme Listesi'!A:C,3,0)</f>
        <v>20</v>
      </c>
      <c r="H288">
        <v>29</v>
      </c>
      <c r="I288" s="1">
        <f t="shared" si="4"/>
        <v>580</v>
      </c>
    </row>
    <row r="289" spans="1:9" x14ac:dyDescent="0.25">
      <c r="A289" s="2" t="s">
        <v>21</v>
      </c>
      <c r="B289">
        <v>2008</v>
      </c>
      <c r="C289" t="str">
        <f>VLOOKUP(B:B,'İş Dağılımı'!A:B,2,0)</f>
        <v>Ediz Ekin</v>
      </c>
      <c r="D289" t="str">
        <f>VLOOKUP(B:B,'İş Dağılımı'!A:C,3,0)</f>
        <v>Kadri Işık</v>
      </c>
      <c r="E289">
        <v>1725</v>
      </c>
      <c r="F289" t="str">
        <f>IFERROR(VLOOKUP(E:E,'Malzeme Listesi'!A:B,2,0),"")</f>
        <v>Deodorant</v>
      </c>
      <c r="G289" s="1">
        <f>VLOOKUP(E:E,'Malzeme Listesi'!A:C,3,0)</f>
        <v>37</v>
      </c>
      <c r="H289">
        <v>31</v>
      </c>
      <c r="I289" s="1">
        <f t="shared" si="4"/>
        <v>1147</v>
      </c>
    </row>
    <row r="290" spans="1:9" x14ac:dyDescent="0.25">
      <c r="A290" s="2" t="s">
        <v>21</v>
      </c>
      <c r="B290">
        <v>2009</v>
      </c>
      <c r="C290" t="str">
        <f>VLOOKUP(B:B,'İş Dağılımı'!A:B,2,0)</f>
        <v>Alper Çakır</v>
      </c>
      <c r="D290" t="str">
        <f>VLOOKUP(B:B,'İş Dağılımı'!A:C,3,0)</f>
        <v>Kadri Işık</v>
      </c>
      <c r="E290">
        <v>1465</v>
      </c>
      <c r="F290" t="str">
        <f>IFERROR(VLOOKUP(E:E,'Malzeme Listesi'!A:B,2,0),"")</f>
        <v>Şampuan</v>
      </c>
      <c r="G290" s="1">
        <f>VLOOKUP(E:E,'Malzeme Listesi'!A:C,3,0)</f>
        <v>12</v>
      </c>
      <c r="H290">
        <v>33</v>
      </c>
      <c r="I290" s="1">
        <f t="shared" si="4"/>
        <v>396</v>
      </c>
    </row>
    <row r="291" spans="1:9" x14ac:dyDescent="0.25">
      <c r="A291" s="2" t="s">
        <v>21</v>
      </c>
      <c r="B291">
        <v>2009</v>
      </c>
      <c r="C291" t="str">
        <f>VLOOKUP(B:B,'İş Dağılımı'!A:B,2,0)</f>
        <v>Alper Çakır</v>
      </c>
      <c r="D291" t="str">
        <f>VLOOKUP(B:B,'İş Dağılımı'!A:C,3,0)</f>
        <v>Kadri Işık</v>
      </c>
      <c r="E291">
        <v>1246</v>
      </c>
      <c r="F291" t="str">
        <f>IFERROR(VLOOKUP(E:E,'Malzeme Listesi'!A:B,2,0),"")</f>
        <v>Parfüm</v>
      </c>
      <c r="G291" s="1">
        <f>VLOOKUP(E:E,'Malzeme Listesi'!A:C,3,0)</f>
        <v>20</v>
      </c>
      <c r="H291">
        <v>36</v>
      </c>
      <c r="I291" s="1">
        <f t="shared" si="4"/>
        <v>720</v>
      </c>
    </row>
    <row r="292" spans="1:9" x14ac:dyDescent="0.25">
      <c r="A292" s="2" t="s">
        <v>21</v>
      </c>
      <c r="B292">
        <v>2009</v>
      </c>
      <c r="C292" t="str">
        <f>VLOOKUP(B:B,'İş Dağılımı'!A:B,2,0)</f>
        <v>Alper Çakır</v>
      </c>
      <c r="D292" t="str">
        <f>VLOOKUP(B:B,'İş Dağılımı'!A:C,3,0)</f>
        <v>Kadri Işık</v>
      </c>
      <c r="E292">
        <v>1725</v>
      </c>
      <c r="F292" t="str">
        <f>IFERROR(VLOOKUP(E:E,'Malzeme Listesi'!A:B,2,0),"")</f>
        <v>Deodorant</v>
      </c>
      <c r="G292" s="1">
        <f>VLOOKUP(E:E,'Malzeme Listesi'!A:C,3,0)</f>
        <v>37</v>
      </c>
      <c r="H292">
        <v>41</v>
      </c>
      <c r="I292" s="1">
        <f t="shared" si="4"/>
        <v>1517</v>
      </c>
    </row>
    <row r="293" spans="1:9" x14ac:dyDescent="0.25">
      <c r="A293" s="2" t="s">
        <v>21</v>
      </c>
      <c r="B293">
        <v>2010</v>
      </c>
      <c r="C293" t="str">
        <f>VLOOKUP(B:B,'İş Dağılımı'!A:B,2,0)</f>
        <v>Enver Toprak</v>
      </c>
      <c r="D293" t="str">
        <f>VLOOKUP(B:B,'İş Dağılımı'!A:C,3,0)</f>
        <v>Aslı Balcı</v>
      </c>
      <c r="E293">
        <v>1465</v>
      </c>
      <c r="F293" t="str">
        <f>IFERROR(VLOOKUP(E:E,'Malzeme Listesi'!A:B,2,0),"")</f>
        <v>Şampuan</v>
      </c>
      <c r="G293" s="1">
        <f>VLOOKUP(E:E,'Malzeme Listesi'!A:C,3,0)</f>
        <v>12</v>
      </c>
      <c r="H293">
        <v>33</v>
      </c>
      <c r="I293" s="1">
        <f t="shared" si="4"/>
        <v>396</v>
      </c>
    </row>
    <row r="294" spans="1:9" x14ac:dyDescent="0.25">
      <c r="A294" s="2" t="s">
        <v>21</v>
      </c>
      <c r="B294">
        <v>2010</v>
      </c>
      <c r="C294" t="str">
        <f>VLOOKUP(B:B,'İş Dağılımı'!A:B,2,0)</f>
        <v>Enver Toprak</v>
      </c>
      <c r="D294" t="str">
        <f>VLOOKUP(B:B,'İş Dağılımı'!A:C,3,0)</f>
        <v>Aslı Balcı</v>
      </c>
      <c r="E294">
        <v>1246</v>
      </c>
      <c r="F294" t="str">
        <f>IFERROR(VLOOKUP(E:E,'Malzeme Listesi'!A:B,2,0),"")</f>
        <v>Parfüm</v>
      </c>
      <c r="G294" s="1">
        <f>VLOOKUP(E:E,'Malzeme Listesi'!A:C,3,0)</f>
        <v>20</v>
      </c>
      <c r="H294">
        <v>21</v>
      </c>
      <c r="I294" s="1">
        <f t="shared" si="4"/>
        <v>420</v>
      </c>
    </row>
    <row r="295" spans="1:9" x14ac:dyDescent="0.25">
      <c r="A295" s="2" t="s">
        <v>21</v>
      </c>
      <c r="B295">
        <v>2010</v>
      </c>
      <c r="C295" t="str">
        <f>VLOOKUP(B:B,'İş Dağılımı'!A:B,2,0)</f>
        <v>Enver Toprak</v>
      </c>
      <c r="D295" t="str">
        <f>VLOOKUP(B:B,'İş Dağılımı'!A:C,3,0)</f>
        <v>Aslı Balcı</v>
      </c>
      <c r="E295">
        <v>1725</v>
      </c>
      <c r="F295" t="str">
        <f>IFERROR(VLOOKUP(E:E,'Malzeme Listesi'!A:B,2,0),"")</f>
        <v>Deodorant</v>
      </c>
      <c r="G295" s="1">
        <f>VLOOKUP(E:E,'Malzeme Listesi'!A:C,3,0)</f>
        <v>37</v>
      </c>
      <c r="H295">
        <v>13</v>
      </c>
      <c r="I295" s="1">
        <f t="shared" si="4"/>
        <v>481</v>
      </c>
    </row>
    <row r="296" spans="1:9" x14ac:dyDescent="0.25">
      <c r="A296" s="2" t="s">
        <v>21</v>
      </c>
      <c r="B296">
        <v>2011</v>
      </c>
      <c r="C296" t="str">
        <f>VLOOKUP(B:B,'İş Dağılımı'!A:B,2,0)</f>
        <v>Recep Koca</v>
      </c>
      <c r="D296" t="str">
        <f>VLOOKUP(B:B,'İş Dağılımı'!A:C,3,0)</f>
        <v>Aslı Balcı</v>
      </c>
      <c r="E296">
        <v>1465</v>
      </c>
      <c r="F296" t="str">
        <f>IFERROR(VLOOKUP(E:E,'Malzeme Listesi'!A:B,2,0),"")</f>
        <v>Şampuan</v>
      </c>
      <c r="G296" s="1">
        <f>VLOOKUP(E:E,'Malzeme Listesi'!A:C,3,0)</f>
        <v>12</v>
      </c>
      <c r="H296">
        <v>21</v>
      </c>
      <c r="I296" s="1">
        <f t="shared" si="4"/>
        <v>252</v>
      </c>
    </row>
    <row r="297" spans="1:9" x14ac:dyDescent="0.25">
      <c r="A297" s="2" t="s">
        <v>21</v>
      </c>
      <c r="B297">
        <v>2011</v>
      </c>
      <c r="C297" t="str">
        <f>VLOOKUP(B:B,'İş Dağılımı'!A:B,2,0)</f>
        <v>Recep Koca</v>
      </c>
      <c r="D297" t="str">
        <f>VLOOKUP(B:B,'İş Dağılımı'!A:C,3,0)</f>
        <v>Aslı Balcı</v>
      </c>
      <c r="E297">
        <v>1246</v>
      </c>
      <c r="F297" t="str">
        <f>IFERROR(VLOOKUP(E:E,'Malzeme Listesi'!A:B,2,0),"")</f>
        <v>Parfüm</v>
      </c>
      <c r="G297" s="1">
        <f>VLOOKUP(E:E,'Malzeme Listesi'!A:C,3,0)</f>
        <v>20</v>
      </c>
      <c r="H297">
        <v>41</v>
      </c>
      <c r="I297" s="1">
        <f t="shared" si="4"/>
        <v>820</v>
      </c>
    </row>
    <row r="298" spans="1:9" x14ac:dyDescent="0.25">
      <c r="A298" s="2" t="s">
        <v>21</v>
      </c>
      <c r="B298">
        <v>2011</v>
      </c>
      <c r="C298" t="str">
        <f>VLOOKUP(B:B,'İş Dağılımı'!A:B,2,0)</f>
        <v>Recep Koca</v>
      </c>
      <c r="D298" t="str">
        <f>VLOOKUP(B:B,'İş Dağılımı'!A:C,3,0)</f>
        <v>Aslı Balcı</v>
      </c>
      <c r="E298">
        <v>1725</v>
      </c>
      <c r="F298" t="str">
        <f>IFERROR(VLOOKUP(E:E,'Malzeme Listesi'!A:B,2,0),"")</f>
        <v>Deodorant</v>
      </c>
      <c r="G298" s="1">
        <f>VLOOKUP(E:E,'Malzeme Listesi'!A:C,3,0)</f>
        <v>37</v>
      </c>
      <c r="H298">
        <v>38</v>
      </c>
      <c r="I298" s="1">
        <f t="shared" si="4"/>
        <v>1406</v>
      </c>
    </row>
    <row r="299" spans="1:9" x14ac:dyDescent="0.25">
      <c r="A299" s="2" t="s">
        <v>21</v>
      </c>
      <c r="B299">
        <v>2012</v>
      </c>
      <c r="C299" t="str">
        <f>VLOOKUP(B:B,'İş Dağılımı'!A:B,2,0)</f>
        <v>Murat Maden</v>
      </c>
      <c r="D299" t="str">
        <f>VLOOKUP(B:B,'İş Dağılımı'!A:C,3,0)</f>
        <v>Kadri Işık</v>
      </c>
      <c r="E299">
        <v>1465</v>
      </c>
      <c r="F299" t="str">
        <f>IFERROR(VLOOKUP(E:E,'Malzeme Listesi'!A:B,2,0),"")</f>
        <v>Şampuan</v>
      </c>
      <c r="G299" s="1">
        <f>VLOOKUP(E:E,'Malzeme Listesi'!A:C,3,0)</f>
        <v>12</v>
      </c>
      <c r="H299">
        <v>20</v>
      </c>
      <c r="I299" s="1">
        <f t="shared" si="4"/>
        <v>240</v>
      </c>
    </row>
    <row r="300" spans="1:9" x14ac:dyDescent="0.25">
      <c r="A300" s="2" t="s">
        <v>21</v>
      </c>
      <c r="B300">
        <v>2012</v>
      </c>
      <c r="C300" t="str">
        <f>VLOOKUP(B:B,'İş Dağılımı'!A:B,2,0)</f>
        <v>Murat Maden</v>
      </c>
      <c r="D300" t="str">
        <f>VLOOKUP(B:B,'İş Dağılımı'!A:C,3,0)</f>
        <v>Kadri Işık</v>
      </c>
      <c r="E300">
        <v>1246</v>
      </c>
      <c r="F300" t="str">
        <f>IFERROR(VLOOKUP(E:E,'Malzeme Listesi'!A:B,2,0),"")</f>
        <v>Parfüm</v>
      </c>
      <c r="G300" s="1">
        <f>VLOOKUP(E:E,'Malzeme Listesi'!A:C,3,0)</f>
        <v>20</v>
      </c>
      <c r="H300">
        <v>20</v>
      </c>
      <c r="I300" s="1">
        <f t="shared" si="4"/>
        <v>400</v>
      </c>
    </row>
    <row r="301" spans="1:9" x14ac:dyDescent="0.25">
      <c r="A301" s="2" t="s">
        <v>21</v>
      </c>
      <c r="B301">
        <v>2012</v>
      </c>
      <c r="C301" t="str">
        <f>VLOOKUP(B:B,'İş Dağılımı'!A:B,2,0)</f>
        <v>Murat Maden</v>
      </c>
      <c r="D301" t="str">
        <f>VLOOKUP(B:B,'İş Dağılımı'!A:C,3,0)</f>
        <v>Kadri Işık</v>
      </c>
      <c r="E301">
        <v>1725</v>
      </c>
      <c r="F301" t="str">
        <f>IFERROR(VLOOKUP(E:E,'Malzeme Listesi'!A:B,2,0),"")</f>
        <v>Deodorant</v>
      </c>
      <c r="G301" s="1">
        <f>VLOOKUP(E:E,'Malzeme Listesi'!A:C,3,0)</f>
        <v>37</v>
      </c>
      <c r="H301">
        <v>20</v>
      </c>
      <c r="I301" s="1">
        <f t="shared" si="4"/>
        <v>740</v>
      </c>
    </row>
    <row r="302" spans="1:9" x14ac:dyDescent="0.25">
      <c r="A302" s="2" t="s">
        <v>21</v>
      </c>
      <c r="B302">
        <v>2013</v>
      </c>
      <c r="C302" t="str">
        <f>VLOOKUP(B:B,'İş Dağılımı'!A:B,2,0)</f>
        <v>Zeki Civan</v>
      </c>
      <c r="D302" t="str">
        <f>VLOOKUP(B:B,'İş Dağılımı'!A:C,3,0)</f>
        <v>Engin Demir</v>
      </c>
      <c r="E302">
        <v>1465</v>
      </c>
      <c r="F302" t="str">
        <f>IFERROR(VLOOKUP(E:E,'Malzeme Listesi'!A:B,2,0),"")</f>
        <v>Şampuan</v>
      </c>
      <c r="G302" s="1">
        <f>VLOOKUP(E:E,'Malzeme Listesi'!A:C,3,0)</f>
        <v>12</v>
      </c>
      <c r="H302">
        <v>0</v>
      </c>
      <c r="I302" s="1">
        <f t="shared" si="4"/>
        <v>0</v>
      </c>
    </row>
    <row r="303" spans="1:9" x14ac:dyDescent="0.25">
      <c r="A303" s="2" t="s">
        <v>21</v>
      </c>
      <c r="B303">
        <v>2013</v>
      </c>
      <c r="C303" t="str">
        <f>VLOOKUP(B:B,'İş Dağılımı'!A:B,2,0)</f>
        <v>Zeki Civan</v>
      </c>
      <c r="D303" t="str">
        <f>VLOOKUP(B:B,'İş Dağılımı'!A:C,3,0)</f>
        <v>Engin Demir</v>
      </c>
      <c r="E303">
        <v>1246</v>
      </c>
      <c r="F303" t="str">
        <f>IFERROR(VLOOKUP(E:E,'Malzeme Listesi'!A:B,2,0),"")</f>
        <v>Parfüm</v>
      </c>
      <c r="G303" s="1">
        <f>VLOOKUP(E:E,'Malzeme Listesi'!A:C,3,0)</f>
        <v>20</v>
      </c>
      <c r="H303">
        <v>15</v>
      </c>
      <c r="I303" s="1">
        <f t="shared" si="4"/>
        <v>300</v>
      </c>
    </row>
    <row r="304" spans="1:9" x14ac:dyDescent="0.25">
      <c r="A304" s="2" t="s">
        <v>21</v>
      </c>
      <c r="B304">
        <v>2013</v>
      </c>
      <c r="C304" t="str">
        <f>VLOOKUP(B:B,'İş Dağılımı'!A:B,2,0)</f>
        <v>Zeki Civan</v>
      </c>
      <c r="D304" t="str">
        <f>VLOOKUP(B:B,'İş Dağılımı'!A:C,3,0)</f>
        <v>Engin Demir</v>
      </c>
      <c r="E304">
        <v>1725</v>
      </c>
      <c r="F304" t="str">
        <f>IFERROR(VLOOKUP(E:E,'Malzeme Listesi'!A:B,2,0),"")</f>
        <v>Deodorant</v>
      </c>
      <c r="G304" s="1">
        <f>VLOOKUP(E:E,'Malzeme Listesi'!A:C,3,0)</f>
        <v>37</v>
      </c>
      <c r="H304">
        <v>40</v>
      </c>
      <c r="I304" s="1">
        <f t="shared" si="4"/>
        <v>1480</v>
      </c>
    </row>
    <row r="305" spans="1:9" x14ac:dyDescent="0.25">
      <c r="A305" s="2" t="s">
        <v>21</v>
      </c>
      <c r="B305">
        <v>2014</v>
      </c>
      <c r="C305" t="str">
        <f>VLOOKUP(B:B,'İş Dağılımı'!A:B,2,0)</f>
        <v>Gülsüm Çalışkan</v>
      </c>
      <c r="D305" t="str">
        <f>VLOOKUP(B:B,'İş Dağılımı'!A:C,3,0)</f>
        <v>Engin Demir</v>
      </c>
      <c r="E305">
        <v>1465</v>
      </c>
      <c r="F305" t="str">
        <f>IFERROR(VLOOKUP(E:E,'Malzeme Listesi'!A:B,2,0),"")</f>
        <v>Şampuan</v>
      </c>
      <c r="G305" s="1">
        <f>VLOOKUP(E:E,'Malzeme Listesi'!A:C,3,0)</f>
        <v>12</v>
      </c>
      <c r="H305">
        <v>28</v>
      </c>
      <c r="I305" s="1">
        <f t="shared" si="4"/>
        <v>336</v>
      </c>
    </row>
    <row r="306" spans="1:9" x14ac:dyDescent="0.25">
      <c r="A306" s="2" t="s">
        <v>21</v>
      </c>
      <c r="B306">
        <v>2014</v>
      </c>
      <c r="C306" t="str">
        <f>VLOOKUP(B:B,'İş Dağılımı'!A:B,2,0)</f>
        <v>Gülsüm Çalışkan</v>
      </c>
      <c r="D306" t="str">
        <f>VLOOKUP(B:B,'İş Dağılımı'!A:C,3,0)</f>
        <v>Engin Demir</v>
      </c>
      <c r="E306">
        <v>1246</v>
      </c>
      <c r="F306" t="str">
        <f>IFERROR(VLOOKUP(E:E,'Malzeme Listesi'!A:B,2,0),"")</f>
        <v>Parfüm</v>
      </c>
      <c r="G306" s="1">
        <f>VLOOKUP(E:E,'Malzeme Listesi'!A:C,3,0)</f>
        <v>20</v>
      </c>
      <c r="H306">
        <v>7</v>
      </c>
      <c r="I306" s="1">
        <f t="shared" si="4"/>
        <v>140</v>
      </c>
    </row>
    <row r="307" spans="1:9" x14ac:dyDescent="0.25">
      <c r="A307" s="2" t="s">
        <v>21</v>
      </c>
      <c r="B307">
        <v>2014</v>
      </c>
      <c r="C307" t="str">
        <f>VLOOKUP(B:B,'İş Dağılımı'!A:B,2,0)</f>
        <v>Gülsüm Çalışkan</v>
      </c>
      <c r="D307" t="str">
        <f>VLOOKUP(B:B,'İş Dağılımı'!A:C,3,0)</f>
        <v>Engin Demir</v>
      </c>
      <c r="E307">
        <v>1725</v>
      </c>
      <c r="F307" t="str">
        <f>IFERROR(VLOOKUP(E:E,'Malzeme Listesi'!A:B,2,0),"")</f>
        <v>Deodorant</v>
      </c>
      <c r="G307" s="1">
        <f>VLOOKUP(E:E,'Malzeme Listesi'!A:C,3,0)</f>
        <v>37</v>
      </c>
      <c r="H307">
        <v>11</v>
      </c>
      <c r="I307" s="1">
        <f t="shared" si="4"/>
        <v>407</v>
      </c>
    </row>
  </sheetData>
  <autoFilter ref="A1:I1" xr:uid="{E429A266-64CA-4019-BF36-11EDB9D8EC7C}"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3E9C7-EE62-4484-9E51-4A936BFC7A1B}">
  <sheetPr codeName="Sayfa4"/>
  <dimension ref="A3:C7"/>
  <sheetViews>
    <sheetView workbookViewId="0">
      <selection activeCell="Q14" sqref="Q14"/>
    </sheetView>
  </sheetViews>
  <sheetFormatPr defaultRowHeight="15" x14ac:dyDescent="0.25"/>
  <cols>
    <col min="1" max="1" width="16" bestFit="1" customWidth="1"/>
    <col min="2" max="2" width="17.7109375" bestFit="1" customWidth="1"/>
    <col min="3" max="3" width="17" bestFit="1" customWidth="1"/>
  </cols>
  <sheetData>
    <row r="3" spans="1:3" x14ac:dyDescent="0.25">
      <c r="A3" s="3" t="s">
        <v>23</v>
      </c>
      <c r="B3" t="s">
        <v>25</v>
      </c>
      <c r="C3" t="s">
        <v>26</v>
      </c>
    </row>
    <row r="4" spans="1:3" x14ac:dyDescent="0.25">
      <c r="A4" s="4" t="s">
        <v>107</v>
      </c>
      <c r="B4" s="2">
        <v>2327</v>
      </c>
      <c r="C4" s="1">
        <v>27924</v>
      </c>
    </row>
    <row r="5" spans="1:3" x14ac:dyDescent="0.25">
      <c r="A5" s="4" t="s">
        <v>108</v>
      </c>
      <c r="B5" s="2">
        <v>2380</v>
      </c>
      <c r="C5" s="1">
        <v>47600</v>
      </c>
    </row>
    <row r="6" spans="1:3" x14ac:dyDescent="0.25">
      <c r="A6" s="4" t="s">
        <v>109</v>
      </c>
      <c r="B6" s="2">
        <v>2331</v>
      </c>
      <c r="C6" s="1">
        <v>86247</v>
      </c>
    </row>
    <row r="7" spans="1:3" x14ac:dyDescent="0.25">
      <c r="A7" s="4" t="s">
        <v>24</v>
      </c>
      <c r="B7" s="2">
        <v>7038</v>
      </c>
      <c r="C7" s="1">
        <v>161771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79E80-68B5-44C0-BE15-FD3AD382AE08}">
  <sheetPr codeName="Sayfa5"/>
  <dimension ref="A1:R29"/>
  <sheetViews>
    <sheetView zoomScale="85" zoomScaleNormal="85" workbookViewId="0"/>
  </sheetViews>
  <sheetFormatPr defaultRowHeight="15" x14ac:dyDescent="0.25"/>
  <cols>
    <col min="1" max="1" width="17" bestFit="1" customWidth="1"/>
    <col min="2" max="2" width="17.140625" bestFit="1" customWidth="1"/>
    <col min="3" max="3" width="9.140625" bestFit="1" customWidth="1"/>
    <col min="4" max="4" width="7.42578125" bestFit="1" customWidth="1"/>
    <col min="5" max="5" width="10.42578125" bestFit="1" customWidth="1"/>
    <col min="6" max="6" width="13.5703125" bestFit="1" customWidth="1"/>
    <col min="7" max="7" width="23.85546875" bestFit="1" customWidth="1"/>
    <col min="8" max="8" width="17.28515625" bestFit="1" customWidth="1"/>
    <col min="9" max="9" width="16" bestFit="1" customWidth="1"/>
    <col min="10" max="10" width="12.140625" customWidth="1"/>
    <col min="11" max="11" width="26.85546875" bestFit="1" customWidth="1"/>
    <col min="12" max="12" width="19.85546875" bestFit="1" customWidth="1"/>
    <col min="13" max="13" width="16.42578125" bestFit="1" customWidth="1"/>
    <col min="14" max="14" width="3.140625" customWidth="1"/>
    <col min="15" max="15" width="10.28515625" bestFit="1" customWidth="1"/>
    <col min="16" max="16" width="18.5703125" customWidth="1"/>
    <col min="17" max="17" width="3.5703125" customWidth="1"/>
    <col min="18" max="18" width="12.42578125" bestFit="1" customWidth="1"/>
    <col min="19" max="19" width="9" bestFit="1" customWidth="1"/>
    <col min="20" max="20" width="13.140625" bestFit="1" customWidth="1"/>
    <col min="21" max="21" width="12" bestFit="1" customWidth="1"/>
    <col min="22" max="22" width="14.5703125" bestFit="1" customWidth="1"/>
    <col min="23" max="23" width="12" bestFit="1" customWidth="1"/>
  </cols>
  <sheetData>
    <row r="1" spans="1:18" ht="15.75" thickBot="1" x14ac:dyDescent="0.3">
      <c r="K1" s="87" t="s">
        <v>56</v>
      </c>
      <c r="L1" s="85">
        <f>IF(F29&gt;150000,3000,2000)</f>
        <v>3000</v>
      </c>
      <c r="M1" s="81" t="s">
        <v>55</v>
      </c>
      <c r="N1" s="83">
        <v>90</v>
      </c>
      <c r="O1" s="85">
        <f>(N1*L1)/100</f>
        <v>2700</v>
      </c>
      <c r="P1" s="52" t="s">
        <v>63</v>
      </c>
      <c r="Q1" s="51">
        <v>30</v>
      </c>
      <c r="R1" s="38">
        <f>(Q1*$O$1)/100</f>
        <v>810</v>
      </c>
    </row>
    <row r="2" spans="1:18" ht="15.75" thickBot="1" x14ac:dyDescent="0.3">
      <c r="K2" s="88"/>
      <c r="L2" s="90"/>
      <c r="M2" s="82"/>
      <c r="N2" s="84"/>
      <c r="O2" s="86"/>
      <c r="P2" s="49" t="s">
        <v>64</v>
      </c>
      <c r="Q2" s="50">
        <v>70</v>
      </c>
      <c r="R2" s="38">
        <f>(Q2*$O$1)/100</f>
        <v>1890</v>
      </c>
    </row>
    <row r="3" spans="1:18" ht="15.75" thickBot="1" x14ac:dyDescent="0.3">
      <c r="K3" s="89"/>
      <c r="L3" s="86"/>
      <c r="M3" s="36" t="s">
        <v>65</v>
      </c>
      <c r="N3" s="37">
        <v>10</v>
      </c>
      <c r="O3" s="38">
        <f>(N3*L1)/100</f>
        <v>300</v>
      </c>
    </row>
    <row r="5" spans="1:18" x14ac:dyDescent="0.25">
      <c r="A5" s="3" t="s">
        <v>26</v>
      </c>
      <c r="B5" s="3" t="s">
        <v>48</v>
      </c>
    </row>
    <row r="6" spans="1:18" x14ac:dyDescent="0.25">
      <c r="A6" s="96" t="s">
        <v>23</v>
      </c>
      <c r="B6" s="5" t="s">
        <v>106</v>
      </c>
      <c r="C6" s="5" t="s">
        <v>107</v>
      </c>
      <c r="D6" s="5" t="s">
        <v>108</v>
      </c>
      <c r="E6" s="5" t="s">
        <v>109</v>
      </c>
      <c r="F6" s="5" t="s">
        <v>24</v>
      </c>
      <c r="G6" s="46" t="s">
        <v>54</v>
      </c>
      <c r="H6" s="94" t="s">
        <v>55</v>
      </c>
      <c r="I6" s="77"/>
    </row>
    <row r="7" spans="1:18" x14ac:dyDescent="0.25">
      <c r="A7" s="97" t="s">
        <v>7</v>
      </c>
      <c r="B7" s="47"/>
      <c r="C7" s="47">
        <v>9120</v>
      </c>
      <c r="D7" s="47">
        <v>16700</v>
      </c>
      <c r="E7" s="47">
        <v>23236</v>
      </c>
      <c r="F7" s="47">
        <v>49056</v>
      </c>
      <c r="G7" s="48"/>
      <c r="H7" s="95">
        <f>(100*F7)/$F$29</f>
        <v>30.324347379938306</v>
      </c>
      <c r="I7" s="78" t="str">
        <f>A7</f>
        <v>Aslı Balcı</v>
      </c>
    </row>
    <row r="8" spans="1:18" x14ac:dyDescent="0.25">
      <c r="A8" s="98">
        <v>2000</v>
      </c>
      <c r="B8" s="47"/>
      <c r="C8" s="47">
        <v>1788</v>
      </c>
      <c r="D8" s="47">
        <v>4480</v>
      </c>
      <c r="E8" s="47">
        <v>5291</v>
      </c>
      <c r="F8" s="47">
        <v>11559</v>
      </c>
      <c r="G8" s="47">
        <f>(100*F8)/$F$29</f>
        <v>7.1452856197958843</v>
      </c>
      <c r="H8" s="95"/>
      <c r="I8" s="78">
        <f t="shared" ref="I8:I28" si="0">A8</f>
        <v>2000</v>
      </c>
    </row>
    <row r="9" spans="1:18" x14ac:dyDescent="0.25">
      <c r="A9" s="98">
        <v>2001</v>
      </c>
      <c r="B9" s="47"/>
      <c r="C9" s="47">
        <v>1644</v>
      </c>
      <c r="D9" s="47">
        <v>2380</v>
      </c>
      <c r="E9" s="47">
        <v>4514</v>
      </c>
      <c r="F9" s="47">
        <v>8538</v>
      </c>
      <c r="G9" s="47">
        <f t="shared" ref="G9:G26" si="1">(100*F9)/$F$29</f>
        <v>5.2778310080298692</v>
      </c>
      <c r="H9" s="95"/>
      <c r="I9" s="78">
        <f t="shared" si="0"/>
        <v>2001</v>
      </c>
    </row>
    <row r="10" spans="1:18" x14ac:dyDescent="0.25">
      <c r="A10" s="98">
        <v>2006</v>
      </c>
      <c r="B10" s="47"/>
      <c r="C10" s="47">
        <v>2340</v>
      </c>
      <c r="D10" s="47">
        <v>4260</v>
      </c>
      <c r="E10" s="47">
        <v>3034</v>
      </c>
      <c r="F10" s="47">
        <v>9634</v>
      </c>
      <c r="G10" s="47">
        <f t="shared" si="1"/>
        <v>5.9553319198125747</v>
      </c>
      <c r="H10" s="95"/>
      <c r="I10" s="78">
        <f t="shared" si="0"/>
        <v>2006</v>
      </c>
    </row>
    <row r="11" spans="1:18" x14ac:dyDescent="0.25">
      <c r="A11" s="98">
        <v>2010</v>
      </c>
      <c r="B11" s="47"/>
      <c r="C11" s="47">
        <v>1872</v>
      </c>
      <c r="D11" s="47">
        <v>2660</v>
      </c>
      <c r="E11" s="47">
        <v>4366</v>
      </c>
      <c r="F11" s="47">
        <v>8898</v>
      </c>
      <c r="G11" s="47">
        <f t="shared" si="1"/>
        <v>5.5003678038709038</v>
      </c>
      <c r="H11" s="95"/>
      <c r="I11" s="78">
        <f t="shared" si="0"/>
        <v>2010</v>
      </c>
    </row>
    <row r="12" spans="1:18" x14ac:dyDescent="0.25">
      <c r="A12" s="98">
        <v>2011</v>
      </c>
      <c r="B12" s="47"/>
      <c r="C12" s="47">
        <v>1476</v>
      </c>
      <c r="D12" s="47">
        <v>2920</v>
      </c>
      <c r="E12" s="47">
        <v>6031</v>
      </c>
      <c r="F12" s="47">
        <v>10427</v>
      </c>
      <c r="G12" s="47">
        <f t="shared" si="1"/>
        <v>6.4455310284290759</v>
      </c>
      <c r="H12" s="95"/>
      <c r="I12" s="78">
        <f t="shared" si="0"/>
        <v>2011</v>
      </c>
    </row>
    <row r="13" spans="1:18" x14ac:dyDescent="0.25">
      <c r="A13" s="97" t="s">
        <v>8</v>
      </c>
      <c r="B13" s="47"/>
      <c r="C13" s="47">
        <v>10260</v>
      </c>
      <c r="D13" s="47">
        <v>15320</v>
      </c>
      <c r="E13" s="47">
        <v>36741</v>
      </c>
      <c r="F13" s="47">
        <v>62321</v>
      </c>
      <c r="G13" s="47"/>
      <c r="H13" s="95">
        <f t="shared" ref="H13:H21" si="2">(100*F13)/$F$29</f>
        <v>38.524210148914207</v>
      </c>
      <c r="I13" s="78" t="str">
        <f t="shared" si="0"/>
        <v>Engin Demir</v>
      </c>
    </row>
    <row r="14" spans="1:18" x14ac:dyDescent="0.25">
      <c r="A14" s="98">
        <v>1999</v>
      </c>
      <c r="B14" s="47"/>
      <c r="C14" s="47">
        <v>1368</v>
      </c>
      <c r="D14" s="47">
        <v>3020</v>
      </c>
      <c r="E14" s="47">
        <v>7844</v>
      </c>
      <c r="F14" s="47">
        <v>12232</v>
      </c>
      <c r="G14" s="47">
        <f t="shared" si="1"/>
        <v>7.5613057964653736</v>
      </c>
      <c r="H14" s="95"/>
      <c r="I14" s="78">
        <f t="shared" si="0"/>
        <v>1999</v>
      </c>
    </row>
    <row r="15" spans="1:18" x14ac:dyDescent="0.25">
      <c r="A15" s="98">
        <v>2002</v>
      </c>
      <c r="B15" s="47"/>
      <c r="C15" s="47">
        <v>1140</v>
      </c>
      <c r="D15" s="47">
        <v>1320</v>
      </c>
      <c r="E15" s="47">
        <v>5846</v>
      </c>
      <c r="F15" s="47">
        <v>8306</v>
      </c>
      <c r="G15" s="47">
        <f t="shared" si="1"/>
        <v>5.1344184062656471</v>
      </c>
      <c r="H15" s="95"/>
      <c r="I15" s="78">
        <f t="shared" si="0"/>
        <v>2002</v>
      </c>
    </row>
    <row r="16" spans="1:18" x14ac:dyDescent="0.25">
      <c r="A16" s="98">
        <v>2003</v>
      </c>
      <c r="B16" s="47"/>
      <c r="C16" s="47">
        <v>2028</v>
      </c>
      <c r="D16" s="47">
        <v>2100</v>
      </c>
      <c r="E16" s="47">
        <v>2072</v>
      </c>
      <c r="F16" s="47">
        <v>6200</v>
      </c>
      <c r="G16" s="47">
        <f t="shared" si="1"/>
        <v>3.8325781505955949</v>
      </c>
      <c r="H16" s="95"/>
      <c r="I16" s="78">
        <f t="shared" si="0"/>
        <v>2003</v>
      </c>
    </row>
    <row r="17" spans="1:12" x14ac:dyDescent="0.25">
      <c r="A17" s="98">
        <v>2004</v>
      </c>
      <c r="B17" s="47"/>
      <c r="C17" s="47">
        <v>1272</v>
      </c>
      <c r="D17" s="47">
        <v>2840</v>
      </c>
      <c r="E17" s="47">
        <v>6993</v>
      </c>
      <c r="F17" s="47">
        <v>11105</v>
      </c>
      <c r="G17" s="47">
        <f t="shared" si="1"/>
        <v>6.8646419939296903</v>
      </c>
      <c r="H17" s="95"/>
      <c r="I17" s="78">
        <f t="shared" si="0"/>
        <v>2004</v>
      </c>
    </row>
    <row r="18" spans="1:12" x14ac:dyDescent="0.25">
      <c r="A18" s="98">
        <v>2007</v>
      </c>
      <c r="B18" s="47"/>
      <c r="C18" s="47">
        <v>948</v>
      </c>
      <c r="D18" s="47">
        <v>980</v>
      </c>
      <c r="E18" s="47">
        <v>2035</v>
      </c>
      <c r="F18" s="47">
        <v>3963</v>
      </c>
      <c r="G18" s="47">
        <f t="shared" si="1"/>
        <v>2.4497592275500555</v>
      </c>
      <c r="H18" s="95"/>
      <c r="I18" s="78">
        <f t="shared" si="0"/>
        <v>2007</v>
      </c>
    </row>
    <row r="19" spans="1:12" x14ac:dyDescent="0.25">
      <c r="A19" s="98">
        <v>2013</v>
      </c>
      <c r="B19" s="47"/>
      <c r="C19" s="47">
        <v>1416</v>
      </c>
      <c r="D19" s="47">
        <v>2380</v>
      </c>
      <c r="E19" s="47">
        <v>6364</v>
      </c>
      <c r="F19" s="47">
        <v>10160</v>
      </c>
      <c r="G19" s="47">
        <f t="shared" si="1"/>
        <v>6.2804829048469752</v>
      </c>
      <c r="H19" s="95"/>
      <c r="I19" s="78">
        <f t="shared" si="0"/>
        <v>2013</v>
      </c>
    </row>
    <row r="20" spans="1:12" ht="15.75" thickBot="1" x14ac:dyDescent="0.3">
      <c r="A20" s="98">
        <v>2014</v>
      </c>
      <c r="B20" s="47"/>
      <c r="C20" s="47">
        <v>2088</v>
      </c>
      <c r="D20" s="47">
        <v>2680</v>
      </c>
      <c r="E20" s="47">
        <v>5587</v>
      </c>
      <c r="F20" s="47">
        <v>10355</v>
      </c>
      <c r="G20" s="47">
        <f t="shared" si="1"/>
        <v>6.4010236692608684</v>
      </c>
      <c r="H20" s="95"/>
      <c r="I20" s="78">
        <f t="shared" si="0"/>
        <v>2014</v>
      </c>
    </row>
    <row r="21" spans="1:12" ht="15.75" thickBot="1" x14ac:dyDescent="0.3">
      <c r="A21" s="97" t="s">
        <v>9</v>
      </c>
      <c r="B21" s="47"/>
      <c r="C21" s="47">
        <v>8544</v>
      </c>
      <c r="D21" s="47">
        <v>15580</v>
      </c>
      <c r="E21" s="47">
        <v>26270</v>
      </c>
      <c r="F21" s="47">
        <v>50394</v>
      </c>
      <c r="G21" s="47"/>
      <c r="H21" s="95">
        <f t="shared" si="2"/>
        <v>31.151442471147487</v>
      </c>
      <c r="I21" s="78" t="str">
        <f t="shared" si="0"/>
        <v>Kadri Işık</v>
      </c>
      <c r="K21" s="79" t="s">
        <v>53</v>
      </c>
      <c r="L21" s="80"/>
    </row>
    <row r="22" spans="1:12" x14ac:dyDescent="0.25">
      <c r="A22" s="98">
        <v>1998</v>
      </c>
      <c r="B22" s="47"/>
      <c r="C22" s="47">
        <v>2460</v>
      </c>
      <c r="D22" s="47">
        <v>4040</v>
      </c>
      <c r="E22" s="47">
        <v>4662</v>
      </c>
      <c r="F22" s="47">
        <v>11162</v>
      </c>
      <c r="G22" s="47">
        <f t="shared" si="1"/>
        <v>6.8998769866045215</v>
      </c>
      <c r="H22" s="95"/>
      <c r="I22" s="78">
        <f t="shared" si="0"/>
        <v>1998</v>
      </c>
      <c r="K22" s="60" t="s">
        <v>58</v>
      </c>
      <c r="L22" s="60" t="s">
        <v>0</v>
      </c>
    </row>
    <row r="23" spans="1:12" ht="15.75" thickBot="1" x14ac:dyDescent="0.3">
      <c r="A23" s="98">
        <v>2005</v>
      </c>
      <c r="B23" s="47"/>
      <c r="C23" s="47">
        <v>1836</v>
      </c>
      <c r="D23" s="47">
        <v>3320</v>
      </c>
      <c r="E23" s="47">
        <v>3330</v>
      </c>
      <c r="F23" s="47">
        <v>8486</v>
      </c>
      <c r="G23" s="47">
        <f t="shared" si="1"/>
        <v>5.245686804186164</v>
      </c>
      <c r="H23" s="95"/>
      <c r="I23" s="78">
        <f t="shared" si="0"/>
        <v>2005</v>
      </c>
      <c r="K23" s="40">
        <f>MAX(G8:G26)</f>
        <v>7.5613057964653736</v>
      </c>
      <c r="L23" s="40">
        <f>VLOOKUP(K23,G:I,3,0)</f>
        <v>1999</v>
      </c>
    </row>
    <row r="24" spans="1:12" ht="15.75" thickBot="1" x14ac:dyDescent="0.3">
      <c r="A24" s="98">
        <v>2008</v>
      </c>
      <c r="B24" s="47"/>
      <c r="C24" s="47">
        <v>1764</v>
      </c>
      <c r="D24" s="47">
        <v>2560</v>
      </c>
      <c r="E24" s="47">
        <v>7363</v>
      </c>
      <c r="F24" s="47">
        <v>11687</v>
      </c>
      <c r="G24" s="47">
        <f t="shared" si="1"/>
        <v>7.2244098138726969</v>
      </c>
      <c r="H24" s="95"/>
      <c r="I24" s="78">
        <f t="shared" si="0"/>
        <v>2008</v>
      </c>
    </row>
    <row r="25" spans="1:12" ht="15.75" thickBot="1" x14ac:dyDescent="0.3">
      <c r="A25" s="98">
        <v>2009</v>
      </c>
      <c r="B25" s="47"/>
      <c r="C25" s="47">
        <v>1044</v>
      </c>
      <c r="D25" s="47">
        <v>3260</v>
      </c>
      <c r="E25" s="47">
        <v>6475</v>
      </c>
      <c r="F25" s="47">
        <v>10779</v>
      </c>
      <c r="G25" s="47">
        <f t="shared" si="1"/>
        <v>6.6631225621403098</v>
      </c>
      <c r="H25" s="95"/>
      <c r="I25" s="78">
        <f t="shared" si="0"/>
        <v>2009</v>
      </c>
      <c r="K25" s="79" t="s">
        <v>50</v>
      </c>
      <c r="L25" s="80"/>
    </row>
    <row r="26" spans="1:12" x14ac:dyDescent="0.25">
      <c r="A26" s="98">
        <v>2012</v>
      </c>
      <c r="B26" s="47"/>
      <c r="C26" s="47">
        <v>1440</v>
      </c>
      <c r="D26" s="47">
        <v>2400</v>
      </c>
      <c r="E26" s="47">
        <v>4440</v>
      </c>
      <c r="F26" s="47">
        <v>8280</v>
      </c>
      <c r="G26" s="47">
        <f t="shared" si="1"/>
        <v>5.1183463043437945</v>
      </c>
      <c r="H26" s="95"/>
      <c r="I26" s="78">
        <f t="shared" si="0"/>
        <v>2012</v>
      </c>
      <c r="K26" s="58" t="s">
        <v>57</v>
      </c>
      <c r="L26" s="59" t="s">
        <v>59</v>
      </c>
    </row>
    <row r="27" spans="1:12" ht="15.75" thickBot="1" x14ac:dyDescent="0.3">
      <c r="A27" s="97" t="s">
        <v>106</v>
      </c>
      <c r="B27" s="47"/>
      <c r="C27" s="47"/>
      <c r="D27" s="47"/>
      <c r="E27" s="47"/>
      <c r="F27" s="47"/>
      <c r="G27" s="47"/>
      <c r="H27" s="95"/>
      <c r="I27" s="78" t="str">
        <f t="shared" si="0"/>
        <v>(boş)</v>
      </c>
      <c r="K27" s="41">
        <f>MAX(H:H)</f>
        <v>38.524210148914207</v>
      </c>
      <c r="L27" s="57" t="str">
        <f>VLOOKUP(K27,H:I,2,0)</f>
        <v>Engin Demir</v>
      </c>
    </row>
    <row r="28" spans="1:12" x14ac:dyDescent="0.25">
      <c r="A28" s="98" t="s">
        <v>106</v>
      </c>
      <c r="B28" s="47"/>
      <c r="C28" s="47"/>
      <c r="D28" s="47"/>
      <c r="E28" s="47"/>
      <c r="F28" s="47"/>
      <c r="G28" s="47"/>
      <c r="H28" s="95"/>
      <c r="I28" s="78" t="str">
        <f t="shared" si="0"/>
        <v>(boş)</v>
      </c>
      <c r="K28" s="6" t="s">
        <v>61</v>
      </c>
      <c r="L28" s="7" t="s">
        <v>60</v>
      </c>
    </row>
    <row r="29" spans="1:12" ht="15.75" thickBot="1" x14ac:dyDescent="0.3">
      <c r="A29" s="97" t="s">
        <v>24</v>
      </c>
      <c r="B29" s="47"/>
      <c r="C29" s="47">
        <v>27924</v>
      </c>
      <c r="D29" s="47">
        <v>47600</v>
      </c>
      <c r="E29" s="47">
        <v>86247</v>
      </c>
      <c r="F29" s="47">
        <v>161771</v>
      </c>
      <c r="G29" s="47"/>
      <c r="H29" s="95"/>
      <c r="I29" s="78"/>
      <c r="K29" s="18">
        <f>COUNTIF('İş Dağılımı'!C:C,L27)</f>
        <v>7</v>
      </c>
      <c r="L29" s="42">
        <f>R2/K29</f>
        <v>270</v>
      </c>
    </row>
  </sheetData>
  <mergeCells count="7">
    <mergeCell ref="K25:L25"/>
    <mergeCell ref="M1:M2"/>
    <mergeCell ref="N1:N2"/>
    <mergeCell ref="O1:O2"/>
    <mergeCell ref="K1:K3"/>
    <mergeCell ref="L1:L3"/>
    <mergeCell ref="K21:L2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78AF-0D04-43A2-9CFC-27856422B19D}">
  <sheetPr codeName="Sayfa7"/>
  <dimension ref="A1:F11"/>
  <sheetViews>
    <sheetView workbookViewId="0">
      <selection activeCell="N29" sqref="N29"/>
    </sheetView>
  </sheetViews>
  <sheetFormatPr defaultRowHeight="15" x14ac:dyDescent="0.25"/>
  <cols>
    <col min="1" max="1" width="26.85546875" bestFit="1" customWidth="1"/>
    <col min="2" max="3" width="8" bestFit="1" customWidth="1"/>
    <col min="4" max="4" width="17.42578125" bestFit="1" customWidth="1"/>
    <col min="5" max="5" width="12" bestFit="1" customWidth="1"/>
    <col min="6" max="6" width="7.7109375" bestFit="1" customWidth="1"/>
  </cols>
  <sheetData>
    <row r="1" spans="1:6" x14ac:dyDescent="0.25">
      <c r="A1" t="s">
        <v>69</v>
      </c>
      <c r="B1" t="s">
        <v>67</v>
      </c>
      <c r="C1" t="s">
        <v>68</v>
      </c>
      <c r="D1" t="s">
        <v>70</v>
      </c>
      <c r="E1" t="s">
        <v>71</v>
      </c>
    </row>
    <row r="2" spans="1:6" x14ac:dyDescent="0.25">
      <c r="A2" s="2" t="s">
        <v>72</v>
      </c>
      <c r="B2">
        <v>15.164999999999999</v>
      </c>
      <c r="C2">
        <v>16.965</v>
      </c>
      <c r="D2">
        <v>-5.0000000000000001E-3</v>
      </c>
      <c r="E2">
        <v>-0.03</v>
      </c>
      <c r="F2" s="53"/>
    </row>
    <row r="3" spans="1:6" x14ac:dyDescent="0.25">
      <c r="A3" s="2" t="s">
        <v>73</v>
      </c>
      <c r="B3">
        <v>15.569000000000001</v>
      </c>
      <c r="C3">
        <v>16.169</v>
      </c>
      <c r="D3">
        <v>0</v>
      </c>
      <c r="E3">
        <v>0</v>
      </c>
      <c r="F3" s="53"/>
    </row>
    <row r="4" spans="1:6" x14ac:dyDescent="0.25">
      <c r="A4" s="2" t="s">
        <v>74</v>
      </c>
      <c r="B4">
        <v>15.483000000000001</v>
      </c>
      <c r="C4">
        <v>16.425899999999999</v>
      </c>
      <c r="D4">
        <v>0</v>
      </c>
      <c r="E4">
        <v>0</v>
      </c>
      <c r="F4" s="53"/>
    </row>
    <row r="5" spans="1:6" x14ac:dyDescent="0.25">
      <c r="A5" s="2" t="s">
        <v>75</v>
      </c>
      <c r="B5">
        <v>15.4405</v>
      </c>
      <c r="C5">
        <v>16.448499999999999</v>
      </c>
      <c r="D5">
        <v>0</v>
      </c>
      <c r="E5">
        <v>0</v>
      </c>
      <c r="F5" s="53"/>
    </row>
    <row r="6" spans="1:6" x14ac:dyDescent="0.25">
      <c r="A6" s="2" t="s">
        <v>76</v>
      </c>
      <c r="B6">
        <v>15.5228</v>
      </c>
      <c r="C6">
        <v>16.422799999999999</v>
      </c>
      <c r="D6">
        <v>-0.15160000000000001</v>
      </c>
      <c r="E6">
        <v>-0.94</v>
      </c>
      <c r="F6" s="53"/>
    </row>
    <row r="7" spans="1:6" x14ac:dyDescent="0.25">
      <c r="A7" s="2" t="s">
        <v>77</v>
      </c>
      <c r="B7">
        <v>15.5528</v>
      </c>
      <c r="C7">
        <v>16.235700000000001</v>
      </c>
      <c r="D7">
        <v>-3.3399999999999999E-2</v>
      </c>
      <c r="E7">
        <v>-0.21</v>
      </c>
      <c r="F7" s="53"/>
    </row>
    <row r="8" spans="1:6" x14ac:dyDescent="0.25">
      <c r="A8" s="2"/>
      <c r="B8" s="2"/>
      <c r="C8" s="54"/>
      <c r="D8" s="54"/>
      <c r="F8" s="53"/>
    </row>
    <row r="9" spans="1:6" x14ac:dyDescent="0.25">
      <c r="A9" s="2"/>
      <c r="B9" s="2"/>
      <c r="C9" s="54"/>
      <c r="D9" s="54"/>
      <c r="F9" s="53"/>
    </row>
    <row r="10" spans="1:6" x14ac:dyDescent="0.25">
      <c r="A10" s="2"/>
      <c r="B10" s="2"/>
      <c r="C10" s="54"/>
      <c r="D10" s="54"/>
      <c r="F10" s="53"/>
    </row>
    <row r="11" spans="1:6" x14ac:dyDescent="0.25">
      <c r="A11" s="2"/>
      <c r="B11" s="2"/>
      <c r="C11" s="54"/>
      <c r="D11" s="54"/>
      <c r="F11" s="53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ADCEC-B79C-4D35-9227-89B791711DEE}">
  <sheetPr codeName="Sayfa8"/>
  <dimension ref="A1:H23"/>
  <sheetViews>
    <sheetView workbookViewId="0">
      <selection activeCell="B1" sqref="B1"/>
    </sheetView>
  </sheetViews>
  <sheetFormatPr defaultRowHeight="15" x14ac:dyDescent="0.25"/>
  <cols>
    <col min="1" max="1" width="18.85546875" bestFit="1" customWidth="1"/>
    <col min="2" max="2" width="25.5703125" bestFit="1" customWidth="1"/>
    <col min="3" max="3" width="11.28515625" bestFit="1" customWidth="1"/>
    <col min="4" max="4" width="10.28515625" bestFit="1" customWidth="1"/>
    <col min="5" max="5" width="10.85546875" bestFit="1" customWidth="1"/>
    <col min="6" max="6" width="15.7109375" bestFit="1" customWidth="1"/>
    <col min="7" max="7" width="15.85546875" bestFit="1" customWidth="1"/>
    <col min="8" max="8" width="17" bestFit="1" customWidth="1"/>
  </cols>
  <sheetData>
    <row r="1" spans="1:8" ht="15.75" thickBot="1" x14ac:dyDescent="0.3">
      <c r="A1" s="55" t="s">
        <v>78</v>
      </c>
      <c r="B1" s="56" t="s">
        <v>76</v>
      </c>
    </row>
    <row r="2" spans="1:8" ht="15.75" thickBot="1" x14ac:dyDescent="0.3">
      <c r="A2" s="61"/>
      <c r="B2" s="39"/>
      <c r="C2" s="39"/>
      <c r="D2" s="39"/>
      <c r="E2" s="39"/>
      <c r="F2" s="39"/>
      <c r="G2" s="75" t="s">
        <v>66</v>
      </c>
      <c r="H2" s="76">
        <f ca="1">TODAY()</f>
        <v>44701</v>
      </c>
    </row>
    <row r="3" spans="1:8" x14ac:dyDescent="0.25">
      <c r="A3" s="6" t="s">
        <v>0</v>
      </c>
      <c r="B3" s="69" t="s">
        <v>30</v>
      </c>
      <c r="C3" s="69" t="s">
        <v>59</v>
      </c>
      <c r="D3" s="69" t="s">
        <v>27</v>
      </c>
      <c r="E3" s="69" t="s">
        <v>49</v>
      </c>
      <c r="F3" s="69" t="s">
        <v>50</v>
      </c>
      <c r="G3" s="69" t="s">
        <v>52</v>
      </c>
      <c r="H3" s="70" t="s">
        <v>51</v>
      </c>
    </row>
    <row r="4" spans="1:8" x14ac:dyDescent="0.25">
      <c r="A4" s="17">
        <v>1995</v>
      </c>
      <c r="B4" s="5" t="str">
        <f>VLOOKUP(A:A,'Personel Listesi'!A:B,2,0)</f>
        <v>Engin Demir</v>
      </c>
      <c r="C4" s="5" t="str">
        <f>IFERROR(VLOOKUP(A:A,'İş Dağılımı'!A:C,3,0),"TAKIM LİDERİ")</f>
        <v>TAKIM LİDERİ</v>
      </c>
      <c r="D4" s="67">
        <f>VLOOKUP(A:A,'Personel Listesi'!A:E,4,0)</f>
        <v>2500</v>
      </c>
      <c r="E4" s="67" t="str">
        <f>IF(A4='Prim Payları'!$L$23,'Prim Payları'!$O$3,"0")</f>
        <v>0</v>
      </c>
      <c r="F4" s="67">
        <f>IF(B4='Prim Payları'!$L$27,'Prim Payları'!$R$1,IF('Aylik Maas'!C4='Prim Payları'!$L$27,'Prim Payları'!$L$29,0))</f>
        <v>810</v>
      </c>
      <c r="G4" s="68">
        <f>IFERROR(VLOOKUP($B$1,'Guncel Kur Verisi'!A:C,3,0),"Maaş Birimi Seçiniz")</f>
        <v>16.422799999999999</v>
      </c>
      <c r="H4" s="71">
        <f>IF(G4="Maaş Birimi Seçiniz","Maaş Türü Seçilmedi",(D4*G4)+E4+F4)</f>
        <v>41867</v>
      </c>
    </row>
    <row r="5" spans="1:8" x14ac:dyDescent="0.25">
      <c r="A5" s="17">
        <v>1996</v>
      </c>
      <c r="B5" s="5" t="str">
        <f>VLOOKUP(A:A,'Personel Listesi'!A:B,2,0)</f>
        <v>Kadri Işık</v>
      </c>
      <c r="C5" s="5" t="str">
        <f>IFERROR(VLOOKUP(A:A,'İş Dağılımı'!A:C,3,0),"TAKIM LİDERİ")</f>
        <v>TAKIM LİDERİ</v>
      </c>
      <c r="D5" s="67">
        <f>VLOOKUP(A:A,'Personel Listesi'!A:E,4,0)</f>
        <v>2350</v>
      </c>
      <c r="E5" s="67" t="str">
        <f>IF(A5='Prim Payları'!$L$23,'Prim Payları'!$O$3,"0")</f>
        <v>0</v>
      </c>
      <c r="F5" s="67">
        <f>IF(B5='Prim Payları'!$L$27,'Prim Payları'!$R$1,IF('Aylik Maas'!C5='Prim Payları'!$L$27,'Prim Payları'!$L$29,0))</f>
        <v>0</v>
      </c>
      <c r="G5" s="68">
        <f>IFERROR(VLOOKUP($B$1,'Guncel Kur Verisi'!A:C,3,0),"Maaş Birimi Seçiniz")</f>
        <v>16.422799999999999</v>
      </c>
      <c r="H5" s="71">
        <f t="shared" ref="H5:H23" si="0">IF(G5="Maaş Birimi Seçiniz","Maaş Türü Seçilmedi",(D5*G5)+E5+F5)</f>
        <v>38593.579999999994</v>
      </c>
    </row>
    <row r="6" spans="1:8" x14ac:dyDescent="0.25">
      <c r="A6" s="17">
        <v>1997</v>
      </c>
      <c r="B6" s="5" t="str">
        <f>VLOOKUP(A:A,'Personel Listesi'!A:B,2,0)</f>
        <v>Aslı Balcı</v>
      </c>
      <c r="C6" s="5" t="str">
        <f>IFERROR(VLOOKUP(A:A,'İş Dağılımı'!A:C,3,0),"TAKIM LİDERİ")</f>
        <v>TAKIM LİDERİ</v>
      </c>
      <c r="D6" s="67">
        <f>VLOOKUP(A:A,'Personel Listesi'!A:E,4,0)</f>
        <v>2100</v>
      </c>
      <c r="E6" s="67" t="str">
        <f>IF(A6='Prim Payları'!$L$23,'Prim Payları'!$O$3,"0")</f>
        <v>0</v>
      </c>
      <c r="F6" s="67">
        <f>IF(B6='Prim Payları'!$L$27,'Prim Payları'!$R$1,IF('Aylik Maas'!C6='Prim Payları'!$L$27,'Prim Payları'!$L$29,0))</f>
        <v>0</v>
      </c>
      <c r="G6" s="68">
        <f>IFERROR(VLOOKUP($B$1,'Guncel Kur Verisi'!A:C,3,0),"Maaş Birimi Seçiniz")</f>
        <v>16.422799999999999</v>
      </c>
      <c r="H6" s="71">
        <f t="shared" si="0"/>
        <v>34487.879999999997</v>
      </c>
    </row>
    <row r="7" spans="1:8" x14ac:dyDescent="0.25">
      <c r="A7" s="17">
        <v>1998</v>
      </c>
      <c r="B7" s="5" t="str">
        <f>VLOOKUP(A:A,'Personel Listesi'!A:B,2,0)</f>
        <v>Ayşe Zengin</v>
      </c>
      <c r="C7" s="5" t="str">
        <f>IFERROR(VLOOKUP(A:A,'İş Dağılımı'!A:C,3,0),"TAKIM LİDERİ")</f>
        <v>Kadri Işık</v>
      </c>
      <c r="D7" s="67">
        <f>VLOOKUP(A:A,'Personel Listesi'!A:E,4,0)</f>
        <v>1078</v>
      </c>
      <c r="E7" s="67" t="str">
        <f>IF(A7='Prim Payları'!$L$23,'Prim Payları'!$O$3,"0")</f>
        <v>0</v>
      </c>
      <c r="F7" s="67">
        <f>IF(B7='Prim Payları'!$L$27,'Prim Payları'!$R$1,IF('Aylik Maas'!C7='Prim Payları'!$L$27,'Prim Payları'!$L$29,0))</f>
        <v>0</v>
      </c>
      <c r="G7" s="68">
        <f>IFERROR(VLOOKUP($B$1,'Guncel Kur Verisi'!A:C,3,0),"Maaş Birimi Seçiniz")</f>
        <v>16.422799999999999</v>
      </c>
      <c r="H7" s="71">
        <f t="shared" si="0"/>
        <v>17703.778399999999</v>
      </c>
    </row>
    <row r="8" spans="1:8" x14ac:dyDescent="0.25">
      <c r="A8" s="17">
        <v>1999</v>
      </c>
      <c r="B8" s="5" t="str">
        <f>VLOOKUP(A:A,'Personel Listesi'!A:B,2,0)</f>
        <v>Gamze Öztürk</v>
      </c>
      <c r="C8" s="5" t="str">
        <f>IFERROR(VLOOKUP(A:A,'İş Dağılımı'!A:C,3,0),"TAKIM LİDERİ")</f>
        <v>Engin Demir</v>
      </c>
      <c r="D8" s="67">
        <f>VLOOKUP(A:A,'Personel Listesi'!A:E,4,0)</f>
        <v>1669</v>
      </c>
      <c r="E8" s="67">
        <f>IF(A8='Prim Payları'!$L$23,'Prim Payları'!$O$3,"0")</f>
        <v>300</v>
      </c>
      <c r="F8" s="67">
        <f>IF(B8='Prim Payları'!$L$27,'Prim Payları'!$R$1,IF('Aylik Maas'!C8='Prim Payları'!$L$27,'Prim Payları'!$L$29,0))</f>
        <v>270</v>
      </c>
      <c r="G8" s="68">
        <f>IFERROR(VLOOKUP($B$1,'Guncel Kur Verisi'!A:C,3,0),"Maaş Birimi Seçiniz")</f>
        <v>16.422799999999999</v>
      </c>
      <c r="H8" s="71">
        <v>44697</v>
      </c>
    </row>
    <row r="9" spans="1:8" x14ac:dyDescent="0.25">
      <c r="A9" s="17">
        <v>2000</v>
      </c>
      <c r="B9" s="5" t="str">
        <f>VLOOKUP(A:A,'Personel Listesi'!A:B,2,0)</f>
        <v>Melike Kara</v>
      </c>
      <c r="C9" s="5" t="str">
        <f>IFERROR(VLOOKUP(A:A,'İş Dağılımı'!A:C,3,0),"TAKIM LİDERİ")</f>
        <v>Aslı Balcı</v>
      </c>
      <c r="D9" s="67">
        <f>VLOOKUP(A:A,'Personel Listesi'!A:E,4,0)</f>
        <v>1220</v>
      </c>
      <c r="E9" s="67" t="str">
        <f>IF(A9='Prim Payları'!$L$23,'Prim Payları'!$O$3,"0")</f>
        <v>0</v>
      </c>
      <c r="F9" s="67">
        <f>IF(B9='Prim Payları'!$L$27,'Prim Payları'!$R$1,IF('Aylik Maas'!C9='Prim Payları'!$L$27,'Prim Payları'!$L$29,0))</f>
        <v>0</v>
      </c>
      <c r="G9" s="68">
        <f>IFERROR(VLOOKUP($B$1,'Guncel Kur Verisi'!A:C,3,0),"Maaş Birimi Seçiniz")</f>
        <v>16.422799999999999</v>
      </c>
      <c r="H9" s="71">
        <f t="shared" si="0"/>
        <v>20035.815999999999</v>
      </c>
    </row>
    <row r="10" spans="1:8" x14ac:dyDescent="0.25">
      <c r="A10" s="17">
        <v>2001</v>
      </c>
      <c r="B10" s="5" t="str">
        <f>VLOOKUP(A:A,'Personel Listesi'!A:B,2,0)</f>
        <v>Emine Şimşek</v>
      </c>
      <c r="C10" s="5" t="str">
        <f>IFERROR(VLOOKUP(A:A,'İş Dağılımı'!A:C,3,0),"TAKIM LİDERİ")</f>
        <v>Aslı Balcı</v>
      </c>
      <c r="D10" s="67">
        <f>VLOOKUP(A:A,'Personel Listesi'!A:E,4,0)</f>
        <v>1078</v>
      </c>
      <c r="E10" s="67" t="str">
        <f>IF(A10='Prim Payları'!$L$23,'Prim Payları'!$O$3,"0")</f>
        <v>0</v>
      </c>
      <c r="F10" s="67">
        <f>IF(B10='Prim Payları'!$L$27,'Prim Payları'!$R$1,IF('Aylik Maas'!C10='Prim Payları'!$L$27,'Prim Payları'!$L$29,0))</f>
        <v>0</v>
      </c>
      <c r="G10" s="68">
        <f>IFERROR(VLOOKUP($B$1,'Guncel Kur Verisi'!A:C,3,0),"Maaş Birimi Seçiniz")</f>
        <v>16.422799999999999</v>
      </c>
      <c r="H10" s="71">
        <f t="shared" si="0"/>
        <v>17703.778399999999</v>
      </c>
    </row>
    <row r="11" spans="1:8" x14ac:dyDescent="0.25">
      <c r="A11" s="17">
        <v>2002</v>
      </c>
      <c r="B11" s="5" t="str">
        <f>VLOOKUP(A:A,'Personel Listesi'!A:B,2,0)</f>
        <v>Adem Yıldız</v>
      </c>
      <c r="C11" s="5" t="str">
        <f>IFERROR(VLOOKUP(A:A,'İş Dağılımı'!A:C,3,0),"TAKIM LİDERİ")</f>
        <v>Engin Demir</v>
      </c>
      <c r="D11" s="67">
        <f>VLOOKUP(A:A,'Personel Listesi'!A:E,4,0)</f>
        <v>1596</v>
      </c>
      <c r="E11" s="67" t="str">
        <f>IF(A11='Prim Payları'!$L$23,'Prim Payları'!$O$3,"0")</f>
        <v>0</v>
      </c>
      <c r="F11" s="67">
        <f>IF(B11='Prim Payları'!$L$27,'Prim Payları'!$R$1,IF('Aylik Maas'!C11='Prim Payları'!$L$27,'Prim Payları'!$L$29,0))</f>
        <v>270</v>
      </c>
      <c r="G11" s="68">
        <f>IFERROR(VLOOKUP($B$1,'Guncel Kur Verisi'!A:C,3,0),"Maaş Birimi Seçiniz")</f>
        <v>16.422799999999999</v>
      </c>
      <c r="H11" s="71">
        <f t="shared" si="0"/>
        <v>26480.788799999998</v>
      </c>
    </row>
    <row r="12" spans="1:8" x14ac:dyDescent="0.25">
      <c r="A12" s="17">
        <v>2003</v>
      </c>
      <c r="B12" s="5" t="str">
        <f>VLOOKUP(A:A,'Personel Listesi'!A:B,2,0)</f>
        <v>İbrahim Vural</v>
      </c>
      <c r="C12" s="5" t="str">
        <f>IFERROR(VLOOKUP(A:A,'İş Dağılımı'!A:C,3,0),"TAKIM LİDERİ")</f>
        <v>Engin Demir</v>
      </c>
      <c r="D12" s="67">
        <f>VLOOKUP(A:A,'Personel Listesi'!A:E,4,0)</f>
        <v>1481</v>
      </c>
      <c r="E12" s="67" t="str">
        <f>IF(A12='Prim Payları'!$L$23,'Prim Payları'!$O$3,"0")</f>
        <v>0</v>
      </c>
      <c r="F12" s="67">
        <f>IF(B12='Prim Payları'!$L$27,'Prim Payları'!$R$1,IF('Aylik Maas'!C12='Prim Payları'!$L$27,'Prim Payları'!$L$29,0))</f>
        <v>270</v>
      </c>
      <c r="G12" s="68">
        <f>IFERROR(VLOOKUP($B$1,'Guncel Kur Verisi'!A:C,3,0),"Maaş Birimi Seçiniz")</f>
        <v>16.422799999999999</v>
      </c>
      <c r="H12" s="71">
        <f t="shared" si="0"/>
        <v>24592.166799999999</v>
      </c>
    </row>
    <row r="13" spans="1:8" x14ac:dyDescent="0.25">
      <c r="A13" s="17">
        <v>2004</v>
      </c>
      <c r="B13" s="5" t="str">
        <f>VLOOKUP(A:A,'Personel Listesi'!A:B,2,0)</f>
        <v>Mehmet Sodacı</v>
      </c>
      <c r="C13" s="5" t="str">
        <f>IFERROR(VLOOKUP(A:A,'İş Dağılımı'!A:C,3,0),"TAKIM LİDERİ")</f>
        <v>Engin Demir</v>
      </c>
      <c r="D13" s="67">
        <f>VLOOKUP(A:A,'Personel Listesi'!A:E,4,0)</f>
        <v>1455</v>
      </c>
      <c r="E13" s="67" t="str">
        <f>IF(A13='Prim Payları'!$L$23,'Prim Payları'!$O$3,"0")</f>
        <v>0</v>
      </c>
      <c r="F13" s="67">
        <f>IF(B13='Prim Payları'!$L$27,'Prim Payları'!$R$1,IF('Aylik Maas'!C13='Prim Payları'!$L$27,'Prim Payları'!$L$29,0))</f>
        <v>270</v>
      </c>
      <c r="G13" s="68">
        <f>IFERROR(VLOOKUP($B$1,'Guncel Kur Verisi'!A:C,3,0),"Maaş Birimi Seçiniz")</f>
        <v>16.422799999999999</v>
      </c>
      <c r="H13" s="71">
        <f t="shared" si="0"/>
        <v>24165.173999999999</v>
      </c>
    </row>
    <row r="14" spans="1:8" x14ac:dyDescent="0.25">
      <c r="A14" s="17">
        <v>2005</v>
      </c>
      <c r="B14" s="5" t="str">
        <f>VLOOKUP(A:A,'Personel Listesi'!A:B,2,0)</f>
        <v>Mete Özak</v>
      </c>
      <c r="C14" s="5" t="str">
        <f>IFERROR(VLOOKUP(A:A,'İş Dağılımı'!A:C,3,0),"TAKIM LİDERİ")</f>
        <v>Kadri Işık</v>
      </c>
      <c r="D14" s="67">
        <f>VLOOKUP(A:A,'Personel Listesi'!A:E,4,0)</f>
        <v>1497</v>
      </c>
      <c r="E14" s="67" t="str">
        <f>IF(A14='Prim Payları'!$L$23,'Prim Payları'!$O$3,"0")</f>
        <v>0</v>
      </c>
      <c r="F14" s="67">
        <f>IF(B14='Prim Payları'!$L$27,'Prim Payları'!$R$1,IF('Aylik Maas'!C14='Prim Payları'!$L$27,'Prim Payları'!$L$29,0))</f>
        <v>0</v>
      </c>
      <c r="G14" s="68">
        <f>IFERROR(VLOOKUP($B$1,'Guncel Kur Verisi'!A:C,3,0),"Maaş Birimi Seçiniz")</f>
        <v>16.422799999999999</v>
      </c>
      <c r="H14" s="71">
        <f t="shared" si="0"/>
        <v>24584.9316</v>
      </c>
    </row>
    <row r="15" spans="1:8" x14ac:dyDescent="0.25">
      <c r="A15" s="17">
        <v>2006</v>
      </c>
      <c r="B15" s="5" t="str">
        <f>VLOOKUP(A:A,'Personel Listesi'!A:B,2,0)</f>
        <v>Fatih Güldüren</v>
      </c>
      <c r="C15" s="5" t="str">
        <f>IFERROR(VLOOKUP(A:A,'İş Dağılımı'!A:C,3,0),"TAKIM LİDERİ")</f>
        <v>Aslı Balcı</v>
      </c>
      <c r="D15" s="67">
        <f>VLOOKUP(A:A,'Personel Listesi'!A:E,4,0)</f>
        <v>1642</v>
      </c>
      <c r="E15" s="67" t="str">
        <f>IF(A15='Prim Payları'!$L$23,'Prim Payları'!$O$3,"0")</f>
        <v>0</v>
      </c>
      <c r="F15" s="67">
        <f>IF(B15='Prim Payları'!$L$27,'Prim Payları'!$R$1,IF('Aylik Maas'!C15='Prim Payları'!$L$27,'Prim Payları'!$L$29,0))</f>
        <v>0</v>
      </c>
      <c r="G15" s="68">
        <f>IFERROR(VLOOKUP($B$1,'Guncel Kur Verisi'!A:C,3,0),"Maaş Birimi Seçiniz")</f>
        <v>16.422799999999999</v>
      </c>
      <c r="H15" s="71">
        <f t="shared" si="0"/>
        <v>26966.237599999997</v>
      </c>
    </row>
    <row r="16" spans="1:8" x14ac:dyDescent="0.25">
      <c r="A16" s="17">
        <v>2007</v>
      </c>
      <c r="B16" s="5" t="str">
        <f>VLOOKUP(A:A,'Personel Listesi'!A:B,2,0)</f>
        <v>Zeynep Yetişen</v>
      </c>
      <c r="C16" s="5" t="str">
        <f>IFERROR(VLOOKUP(A:A,'İş Dağılımı'!A:C,3,0),"TAKIM LİDERİ")</f>
        <v>Engin Demir</v>
      </c>
      <c r="D16" s="67">
        <f>VLOOKUP(A:A,'Personel Listesi'!A:E,4,0)</f>
        <v>1416</v>
      </c>
      <c r="E16" s="67" t="str">
        <f>IF(A16='Prim Payları'!$L$23,'Prim Payları'!$O$3,"0")</f>
        <v>0</v>
      </c>
      <c r="F16" s="67">
        <f>IF(B16='Prim Payları'!$L$27,'Prim Payları'!$R$1,IF('Aylik Maas'!C16='Prim Payları'!$L$27,'Prim Payları'!$L$29,0))</f>
        <v>270</v>
      </c>
      <c r="G16" s="68">
        <f>IFERROR(VLOOKUP($B$1,'Guncel Kur Verisi'!A:C,3,0),"Maaş Birimi Seçiniz")</f>
        <v>16.422799999999999</v>
      </c>
      <c r="H16" s="71">
        <f t="shared" si="0"/>
        <v>23524.684799999999</v>
      </c>
    </row>
    <row r="17" spans="1:8" x14ac:dyDescent="0.25">
      <c r="A17" s="17">
        <v>2008</v>
      </c>
      <c r="B17" s="5" t="str">
        <f>VLOOKUP(A:A,'Personel Listesi'!A:B,2,0)</f>
        <v>Ediz Ekin</v>
      </c>
      <c r="C17" s="5" t="str">
        <f>IFERROR(VLOOKUP(A:A,'İş Dağılımı'!A:C,3,0),"TAKIM LİDERİ")</f>
        <v>Kadri Işık</v>
      </c>
      <c r="D17" s="67">
        <f>VLOOKUP(A:A,'Personel Listesi'!A:E,4,0)</f>
        <v>1460</v>
      </c>
      <c r="E17" s="67" t="str">
        <f>IF(A17='Prim Payları'!$L$23,'Prim Payları'!$O$3,"0")</f>
        <v>0</v>
      </c>
      <c r="F17" s="67">
        <f>IF(B17='Prim Payları'!$L$27,'Prim Payları'!$R$1,IF('Aylik Maas'!C17='Prim Payları'!$L$27,'Prim Payları'!$L$29,0))</f>
        <v>0</v>
      </c>
      <c r="G17" s="68">
        <f>IFERROR(VLOOKUP($B$1,'Guncel Kur Verisi'!A:C,3,0),"Maaş Birimi Seçiniz")</f>
        <v>16.422799999999999</v>
      </c>
      <c r="H17" s="71">
        <f t="shared" si="0"/>
        <v>23977.287999999997</v>
      </c>
    </row>
    <row r="18" spans="1:8" x14ac:dyDescent="0.25">
      <c r="A18" s="17">
        <v>2009</v>
      </c>
      <c r="B18" s="5" t="str">
        <f>VLOOKUP(A:A,'Personel Listesi'!A:B,2,0)</f>
        <v>Alper Çakır</v>
      </c>
      <c r="C18" s="5" t="str">
        <f>IFERROR(VLOOKUP(A:A,'İş Dağılımı'!A:C,3,0),"TAKIM LİDERİ")</f>
        <v>Kadri Işık</v>
      </c>
      <c r="D18" s="67">
        <f>VLOOKUP(A:A,'Personel Listesi'!A:E,4,0)</f>
        <v>1488</v>
      </c>
      <c r="E18" s="67" t="str">
        <f>IF(A18='Prim Payları'!$L$23,'Prim Payları'!$O$3,"0")</f>
        <v>0</v>
      </c>
      <c r="F18" s="67">
        <f>IF(B18='Prim Payları'!$L$27,'Prim Payları'!$R$1,IF('Aylik Maas'!C18='Prim Payları'!$L$27,'Prim Payları'!$L$29,0))</f>
        <v>0</v>
      </c>
      <c r="G18" s="68">
        <f>IFERROR(VLOOKUP($B$1,'Guncel Kur Verisi'!A:C,3,0),"Maaş Birimi Seçiniz")</f>
        <v>16.422799999999999</v>
      </c>
      <c r="H18" s="71">
        <f t="shared" si="0"/>
        <v>24437.126399999997</v>
      </c>
    </row>
    <row r="19" spans="1:8" x14ac:dyDescent="0.25">
      <c r="A19" s="17">
        <v>2010</v>
      </c>
      <c r="B19" s="5" t="str">
        <f>VLOOKUP(A:A,'Personel Listesi'!A:B,2,0)</f>
        <v>Enver Toprak</v>
      </c>
      <c r="C19" s="5" t="str">
        <f>IFERROR(VLOOKUP(A:A,'İş Dağılımı'!A:C,3,0),"TAKIM LİDERİ")</f>
        <v>Aslı Balcı</v>
      </c>
      <c r="D19" s="67">
        <f>VLOOKUP(A:A,'Personel Listesi'!A:E,4,0)</f>
        <v>1643</v>
      </c>
      <c r="E19" s="67" t="str">
        <f>IF(A19='Prim Payları'!$L$23,'Prim Payları'!$O$3,"0")</f>
        <v>0</v>
      </c>
      <c r="F19" s="67">
        <f>IF(B19='Prim Payları'!$L$27,'Prim Payları'!$R$1,IF('Aylik Maas'!C19='Prim Payları'!$L$27,'Prim Payları'!$L$29,0))</f>
        <v>0</v>
      </c>
      <c r="G19" s="68">
        <f>IFERROR(VLOOKUP($B$1,'Guncel Kur Verisi'!A:C,3,0),"Maaş Birimi Seçiniz")</f>
        <v>16.422799999999999</v>
      </c>
      <c r="H19" s="71">
        <f t="shared" si="0"/>
        <v>26982.660399999997</v>
      </c>
    </row>
    <row r="20" spans="1:8" x14ac:dyDescent="0.25">
      <c r="A20" s="17">
        <v>2011</v>
      </c>
      <c r="B20" s="5" t="str">
        <f>VLOOKUP(A:A,'Personel Listesi'!A:B,2,0)</f>
        <v>Recep Koca</v>
      </c>
      <c r="C20" s="5" t="str">
        <f>IFERROR(VLOOKUP(A:A,'İş Dağılımı'!A:C,3,0),"TAKIM LİDERİ")</f>
        <v>Aslı Balcı</v>
      </c>
      <c r="D20" s="67">
        <f>VLOOKUP(A:A,'Personel Listesi'!A:E,4,0)</f>
        <v>1036</v>
      </c>
      <c r="E20" s="67" t="str">
        <f>IF(A20='Prim Payları'!$L$23,'Prim Payları'!$O$3,"0")</f>
        <v>0</v>
      </c>
      <c r="F20" s="67">
        <f>IF(B20='Prim Payları'!$L$27,'Prim Payları'!$R$1,IF('Aylik Maas'!C20='Prim Payları'!$L$27,'Prim Payları'!$L$29,0))</f>
        <v>0</v>
      </c>
      <c r="G20" s="68">
        <f>IFERROR(VLOOKUP($B$1,'Guncel Kur Verisi'!A:C,3,0),"Maaş Birimi Seçiniz")</f>
        <v>16.422799999999999</v>
      </c>
      <c r="H20" s="71">
        <f t="shared" si="0"/>
        <v>17014.020799999998</v>
      </c>
    </row>
    <row r="21" spans="1:8" x14ac:dyDescent="0.25">
      <c r="A21" s="17">
        <v>2012</v>
      </c>
      <c r="B21" s="5" t="str">
        <f>VLOOKUP(A:A,'Personel Listesi'!A:B,2,0)</f>
        <v>Murat Maden</v>
      </c>
      <c r="C21" s="5" t="str">
        <f>IFERROR(VLOOKUP(A:A,'İş Dağılımı'!A:C,3,0),"TAKIM LİDERİ")</f>
        <v>Kadri Işık</v>
      </c>
      <c r="D21" s="67">
        <f>VLOOKUP(A:A,'Personel Listesi'!A:E,4,0)</f>
        <v>1264</v>
      </c>
      <c r="E21" s="67" t="str">
        <f>IF(A21='Prim Payları'!$L$23,'Prim Payları'!$O$3,"0")</f>
        <v>0</v>
      </c>
      <c r="F21" s="67">
        <f>IF(B21='Prim Payları'!$L$27,'Prim Payları'!$R$1,IF('Aylik Maas'!C21='Prim Payları'!$L$27,'Prim Payları'!$L$29,0))</f>
        <v>0</v>
      </c>
      <c r="G21" s="68">
        <f>IFERROR(VLOOKUP($B$1,'Guncel Kur Verisi'!A:C,3,0),"Maaş Birimi Seçiniz")</f>
        <v>16.422799999999999</v>
      </c>
      <c r="H21" s="71">
        <f t="shared" si="0"/>
        <v>20758.419199999997</v>
      </c>
    </row>
    <row r="22" spans="1:8" x14ac:dyDescent="0.25">
      <c r="A22" s="17">
        <v>2013</v>
      </c>
      <c r="B22" s="5" t="str">
        <f>VLOOKUP(A:A,'Personel Listesi'!A:B,2,0)</f>
        <v>Zeki Civan</v>
      </c>
      <c r="C22" s="5" t="str">
        <f>IFERROR(VLOOKUP(A:A,'İş Dağılımı'!A:C,3,0),"TAKIM LİDERİ")</f>
        <v>Engin Demir</v>
      </c>
      <c r="D22" s="67">
        <f>VLOOKUP(A:A,'Personel Listesi'!A:E,4,0)</f>
        <v>1596</v>
      </c>
      <c r="E22" s="67" t="str">
        <f>IF(A22='Prim Payları'!$L$23,'Prim Payları'!$O$3,"0")</f>
        <v>0</v>
      </c>
      <c r="F22" s="67">
        <f>IF(B22='Prim Payları'!$L$27,'Prim Payları'!$R$1,IF('Aylik Maas'!C22='Prim Payları'!$L$27,'Prim Payları'!$L$29,0))</f>
        <v>270</v>
      </c>
      <c r="G22" s="68">
        <f>IFERROR(VLOOKUP($B$1,'Guncel Kur Verisi'!A:C,3,0),"Maaş Birimi Seçiniz")</f>
        <v>16.422799999999999</v>
      </c>
      <c r="H22" s="71">
        <f t="shared" si="0"/>
        <v>26480.788799999998</v>
      </c>
    </row>
    <row r="23" spans="1:8" ht="15.75" thickBot="1" x14ac:dyDescent="0.3">
      <c r="A23" s="18">
        <v>2014</v>
      </c>
      <c r="B23" s="9" t="str">
        <f>VLOOKUP(A:A,'Personel Listesi'!A:B,2,0)</f>
        <v>Gülsüm Çalışkan</v>
      </c>
      <c r="C23" s="9" t="str">
        <f>IFERROR(VLOOKUP(A:A,'İş Dağılımı'!A:C,3,0),"TAKIM LİDERİ")</f>
        <v>Engin Demir</v>
      </c>
      <c r="D23" s="72">
        <f>VLOOKUP(A:A,'Personel Listesi'!A:E,4,0)</f>
        <v>1169</v>
      </c>
      <c r="E23" s="72" t="str">
        <f>IF(A23='Prim Payları'!$L$23,'Prim Payları'!$O$3,"0")</f>
        <v>0</v>
      </c>
      <c r="F23" s="72">
        <f>IF(B23='Prim Payları'!$L$27,'Prim Payları'!$R$1,IF('Aylik Maas'!C23='Prim Payları'!$L$27,'Prim Payları'!$L$29,0))</f>
        <v>270</v>
      </c>
      <c r="G23" s="73">
        <f>IFERROR(VLOOKUP($B$1,'Guncel Kur Verisi'!A:C,3,0),"Maaş Birimi Seçiniz")</f>
        <v>16.422799999999999</v>
      </c>
      <c r="H23" s="74">
        <f t="shared" si="0"/>
        <v>19468.253199999999</v>
      </c>
    </row>
  </sheetData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Yenile">
                <anchor moveWithCells="1" sizeWithCells="1">
                  <from>
                    <xdr:col>9</xdr:col>
                    <xdr:colOff>9525</xdr:colOff>
                    <xdr:row>0</xdr:row>
                    <xdr:rowOff>171450</xdr:rowOff>
                  </from>
                  <to>
                    <xdr:col>10</xdr:col>
                    <xdr:colOff>85725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7B97C5-BFE6-4A30-9F27-96B9276C4D9C}">
          <x14:formula1>
            <xm:f>'Guncel Kur Verisi'!$A$2:$A$11</xm:f>
          </x14:formula1>
          <xm:sqref>B1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E40C7-AF82-4DBA-9F9A-125D5DCEA132}">
  <sheetPr codeName="Sayfa9"/>
  <dimension ref="A1:J4"/>
  <sheetViews>
    <sheetView workbookViewId="0">
      <selection activeCell="E4" sqref="E4"/>
    </sheetView>
  </sheetViews>
  <sheetFormatPr defaultRowHeight="15" x14ac:dyDescent="0.25"/>
  <cols>
    <col min="1" max="1" width="16.140625" bestFit="1" customWidth="1"/>
    <col min="2" max="2" width="15.140625" bestFit="1" customWidth="1"/>
    <col min="3" max="3" width="10.140625" bestFit="1" customWidth="1"/>
    <col min="4" max="4" width="9.140625" bestFit="1" customWidth="1"/>
    <col min="5" max="5" width="25.85546875" customWidth="1"/>
    <col min="6" max="6" width="16.28515625" bestFit="1" customWidth="1"/>
    <col min="7" max="7" width="11.7109375" bestFit="1" customWidth="1"/>
    <col min="8" max="8" width="6.85546875" bestFit="1" customWidth="1"/>
    <col min="9" max="9" width="15.28515625" bestFit="1" customWidth="1"/>
    <col min="10" max="10" width="18.28515625" bestFit="1" customWidth="1"/>
  </cols>
  <sheetData>
    <row r="1" spans="1:10" ht="15.75" thickBot="1" x14ac:dyDescent="0.3">
      <c r="A1" s="64" t="s">
        <v>79</v>
      </c>
      <c r="B1" s="65" t="s">
        <v>47</v>
      </c>
    </row>
    <row r="3" spans="1:10" ht="15.75" thickBot="1" x14ac:dyDescent="0.3"/>
    <row r="4" spans="1:10" ht="15.75" thickBot="1" x14ac:dyDescent="0.3">
      <c r="A4" s="65" t="s">
        <v>47</v>
      </c>
      <c r="B4" s="62" t="s">
        <v>103</v>
      </c>
      <c r="C4" s="76">
        <f ca="1">TODAY()</f>
        <v>44701</v>
      </c>
      <c r="D4" s="62" t="s">
        <v>80</v>
      </c>
      <c r="E4" s="56" t="s">
        <v>76</v>
      </c>
      <c r="F4" s="62" t="s">
        <v>81</v>
      </c>
      <c r="G4" s="66">
        <f>IFERROR(VLOOKUP(A4,'Aylik Maas'!B:H,7,0),"Personel Seçin")</f>
        <v>20758.419199999997</v>
      </c>
      <c r="H4" s="62" t="s">
        <v>105</v>
      </c>
      <c r="I4" s="63" t="str">
        <f>VLOOKUP(A4,'Personel Listesi'!B:E,4,0)</f>
        <v>TR391587595288</v>
      </c>
      <c r="J4" s="51" t="s">
        <v>104</v>
      </c>
    </row>
  </sheetData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Makro3">
                <anchor moveWithCells="1" sizeWithCells="1">
                  <from>
                    <xdr:col>2</xdr:col>
                    <xdr:colOff>457200</xdr:colOff>
                    <xdr:row>0</xdr:row>
                    <xdr:rowOff>28575</xdr:rowOff>
                  </from>
                  <to>
                    <xdr:col>4</xdr:col>
                    <xdr:colOff>838200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F614A00-953D-4DDA-94F2-AFFB44B55305}">
          <x14:formula1>
            <xm:f>'Aylik Maas'!$B$4:$B$23</xm:f>
          </x14:formula1>
          <xm:sqref>B1 A4</xm:sqref>
        </x14:dataValidation>
        <x14:dataValidation type="list" allowBlank="1" showInputMessage="1" showErrorMessage="1" xr:uid="{5B9DD58D-FED9-42BC-BC1B-AD81C6E8D9CC}">
          <x14:formula1>
            <xm:f>'Guncel Kur Verisi'!$A$2:$A$11</xm:f>
          </x14:formula1>
          <xm:sqref>E4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FCFBE85-873A-4AB4-AC06-A1D8AE152C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9</vt:i4>
      </vt:variant>
    </vt:vector>
  </HeadingPairs>
  <TitlesOfParts>
    <vt:vector size="9" baseType="lpstr">
      <vt:lpstr>Personel Listesi</vt:lpstr>
      <vt:lpstr>İş Dağılımı</vt:lpstr>
      <vt:lpstr>Malzeme Listesi</vt:lpstr>
      <vt:lpstr>Satış Adetleri</vt:lpstr>
      <vt:lpstr>Toplam Satışlar</vt:lpstr>
      <vt:lpstr>Prim Payları</vt:lpstr>
      <vt:lpstr>Guncel Kur Verisi</vt:lpstr>
      <vt:lpstr>Aylik Maas</vt:lpstr>
      <vt:lpstr>Maas Belgesi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komtas</dc:creator>
  <cp:lastModifiedBy>Eray ATAK</cp:lastModifiedBy>
  <dcterms:created xsi:type="dcterms:W3CDTF">2022-05-14T20:11:25Z</dcterms:created>
  <dcterms:modified xsi:type="dcterms:W3CDTF">2022-05-19T22:01:07Z</dcterms:modified>
</cp:coreProperties>
</file>